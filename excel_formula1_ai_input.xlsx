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4f90703b2ba36c4f/Amiya_Github_Project/ai_tools_exploration/"/>
    </mc:Choice>
  </mc:AlternateContent>
  <xr:revisionPtr revIDLastSave="1" documentId="8_{C5D1DD05-EA91-C541-8519-53A3B7688D7A}" xr6:coauthVersionLast="47" xr6:coauthVersionMax="47" xr10:uidLastSave="{671F7952-586E-864A-800F-6448405A04E2}"/>
  <bookViews>
    <workbookView xWindow="0" yWindow="760" windowWidth="28800" windowHeight="15800" activeTab="1" xr2:uid="{A6616E7F-277B-4508-9881-A1B1CAC2F2D5}"/>
  </bookViews>
  <sheets>
    <sheet name="Find Formula" sheetId="9" state="hidden" r:id="rId1"/>
    <sheet name="Formula" sheetId="4" r:id="rId2"/>
  </sheets>
  <definedNames>
    <definedName name="_xlnm._FilterDatabase" localSheetId="1" hidden="1">Formula!#REF!</definedName>
    <definedName name="ee" localSheetId="0" hidden="1">{"FirstQ",#N/A,FALSE,"Budget2000";"SecondQ",#N/A,FALSE,"Budget2000";"Summary",#N/A,FALSE,"Budget2000"}</definedName>
    <definedName name="ee" localSheetId="1" hidden="1">{"FirstQ",#N/A,FALSE,"Budget2000";"SecondQ",#N/A,FALSE,"Budget2000";"Summary",#N/A,FALSE,"Budget2000"}</definedName>
    <definedName name="ee" hidden="1">{"FirstQ",#N/A,FALSE,"Budget2000";"SecondQ",#N/A,FALSE,"Budget2000";"Summary",#N/A,FALSE,"Budget2000"}</definedName>
    <definedName name="k" localSheetId="0" hidden="1">{"FirstQ",#N/A,FALSE,"Budget2000";"SecondQ",#N/A,FALSE,"Budget2000";"Summary",#N/A,FALSE,"Budget2000"}</definedName>
    <definedName name="k" localSheetId="1" hidden="1">{"FirstQ",#N/A,FALSE,"Budget2000";"SecondQ",#N/A,FALSE,"Budget2000";"Summary",#N/A,FALSE,"Budget2000"}</definedName>
    <definedName name="k" hidden="1">{"FirstQ",#N/A,FALSE,"Budget2000";"SecondQ",#N/A,FALSE,"Budget2000";"Summary",#N/A,FALSE,"Budget2000"}</definedName>
    <definedName name="q" localSheetId="0" hidden="1">{"FirstQ",#N/A,FALSE,"Budget2000";"SecondQ",#N/A,FALSE,"Budget2000";"Summary",#N/A,FALSE,"Budget2000"}</definedName>
    <definedName name="q" localSheetId="1" hidden="1">{"FirstQ",#N/A,FALSE,"Budget2000";"SecondQ",#N/A,FALSE,"Budget2000";"Summary",#N/A,FALSE,"Budget2000"}</definedName>
    <definedName name="q" hidden="1">{"FirstQ",#N/A,FALSE,"Budget2000";"SecondQ",#N/A,FALSE,"Budget2000";"Summary",#N/A,FALSE,"Budget2000"}</definedName>
    <definedName name="rr" localSheetId="0" hidden="1">{"FirstQ",#N/A,FALSE,"Budget2000";"SecondQ",#N/A,FALSE,"Budget2000"}</definedName>
    <definedName name="rr" localSheetId="1" hidden="1">{"FirstQ",#N/A,FALSE,"Budget2000";"SecondQ",#N/A,FALSE,"Budget2000"}</definedName>
    <definedName name="rr" hidden="1">{"FirstQ",#N/A,FALSE,"Budget2000";"SecondQ",#N/A,FALSE,"Budget2000"}</definedName>
    <definedName name="rrr" localSheetId="0" hidden="1">{"AllDetail",#N/A,FALSE,"Research Budget";"1stQuarter",#N/A,FALSE,"Research Budget";"2nd Quarter",#N/A,FALSE,"Research Budget";"Summary",#N/A,FALSE,"Research Budget"}</definedName>
    <definedName name="rrr" localSheetId="1" hidden="1">{"AllDetail",#N/A,FALSE,"Research Budget";"1stQuarter",#N/A,FALSE,"Research Budget";"2nd Quarter",#N/A,FALSE,"Research Budget";"Summary",#N/A,FALSE,"Research Budget"}</definedName>
    <definedName name="rrr" hidden="1">{"AllDetail",#N/A,FALSE,"Research Budget";"1stQuarter",#N/A,FALSE,"Research Budget";"2nd Quarter",#N/A,FALSE,"Research Budget";"Summary",#N/A,FALSE,"Research Budget"}</definedName>
    <definedName name="wrn.AllData." localSheetId="0" hidden="1">{"FirstQ",#N/A,FALSE,"Budget2000";"SecondQ",#N/A,FALSE,"Budget2000";"Summary",#N/A,FALSE,"Budget2000"}</definedName>
    <definedName name="wrn.AllData." localSheetId="1" hidden="1">{"FirstQ",#N/A,FALSE,"Budget2000";"SecondQ",#N/A,FALSE,"Budget2000";"Summary",#N/A,FALSE,"Budget2000"}</definedName>
    <definedName name="wrn.AllData." hidden="1">{"FirstQ",#N/A,FALSE,"Budget2000";"SecondQ",#N/A,FALSE,"Budget2000";"Summary",#N/A,FALSE,"Budget2000"}</definedName>
    <definedName name="wrn.FirstHalf." localSheetId="0" hidden="1">{"FirstQ",#N/A,FALSE,"Budget2000";"SecondQ",#N/A,FALSE,"Budget2000"}</definedName>
    <definedName name="wrn.FirstHalf." localSheetId="1" hidden="1">{"FirstQ",#N/A,FALSE,"Budget2000";"SecondQ",#N/A,FALSE,"Budget2000"}</definedName>
    <definedName name="wrn.FirstHalf." hidden="1">{"FirstQ",#N/A,FALSE,"Budget2000";"SecondQ",#N/A,FALSE,"Budget2000"}</definedName>
    <definedName name="x" localSheetId="0" hidden="1">{"FirstQ",#N/A,FALSE,"Budget2000";"SecondQ",#N/A,FALSE,"Budget2000";"Summary",#N/A,FALSE,"Budget2000"}</definedName>
    <definedName name="x" localSheetId="1" hidden="1">{"FirstQ",#N/A,FALSE,"Budget2000";"SecondQ",#N/A,FALSE,"Budget2000";"Summary",#N/A,FALSE,"Budget2000"}</definedName>
    <definedName name="x" hidden="1">{"FirstQ",#N/A,FALSE,"Budget2000";"SecondQ",#N/A,FALSE,"Budget2000";"Summary",#N/A,FALSE,"Budget2000"}</definedName>
    <definedName name="xxxxxxxxxxxxxxxxxxx" localSheetId="0" hidden="1">{"AllDetail",#N/A,FALSE,"Research Budget";"1stQuarter",#N/A,FALSE,"Research Budget";"2nd Quarter",#N/A,FALSE,"Research Budget";"Summary",#N/A,FALSE,"Research Budget"}</definedName>
    <definedName name="xxxxxxxxxxxxxxxxxxx" localSheetId="1" hidden="1">{"AllDetail",#N/A,FALSE,"Research Budget";"1stQuarter",#N/A,FALSE,"Research Budget";"2nd Quarter",#N/A,FALSE,"Research Budget";"Summary",#N/A,FALSE,"Research Budget"}</definedName>
    <definedName name="xxxxxxxxxxxxxxxxxxx" hidden="1">{"AllDetail",#N/A,FALSE,"Research Budget";"1stQuarter",#N/A,FALSE,"Research Budget";"2nd Quarter",#N/A,FALSE,"Research Budget";"Summary",#N/A,FALSE,"Research Budget"}</definedName>
    <definedName name="Z_32E1B1E0_F29A_4FB3_9E7F_F78F245BC75E_.wvu.FilterData" localSheetId="1" hidden="1">Formula!#REF!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9" l="1"/>
  <c r="E36" i="9"/>
  <c r="B36" i="9"/>
  <c r="E31" i="9"/>
  <c r="B31" i="9"/>
  <c r="G31" i="9" s="1"/>
  <c r="G37" i="9" s="1"/>
  <c r="E25" i="9"/>
  <c r="B25" i="9"/>
  <c r="G25" i="9" s="1"/>
  <c r="G26" i="9" s="1"/>
  <c r="K26" i="9" s="1"/>
  <c r="L23" i="9"/>
  <c r="L24" i="9" s="1"/>
  <c r="L19" i="9"/>
  <c r="L20" i="9" s="1"/>
  <c r="G19" i="9"/>
  <c r="E19" i="9"/>
  <c r="B19" i="9"/>
  <c r="I16" i="9"/>
  <c r="J16" i="9" s="1"/>
  <c r="I15" i="9"/>
  <c r="J15" i="9" s="1"/>
  <c r="I14" i="9"/>
  <c r="J14" i="9" s="1"/>
  <c r="D13" i="9"/>
  <c r="E13" i="9" s="1"/>
  <c r="B13" i="9"/>
  <c r="L12" i="9"/>
  <c r="I11" i="9"/>
  <c r="J11" i="9" s="1"/>
  <c r="L10" i="9"/>
  <c r="I10" i="9"/>
  <c r="J10" i="9" s="1"/>
  <c r="F10" i="9"/>
  <c r="I9" i="9"/>
  <c r="J9" i="9" s="1"/>
  <c r="F9" i="9"/>
  <c r="I8" i="9"/>
  <c r="J8" i="9" s="1"/>
  <c r="B7" i="9"/>
  <c r="B10" i="9" s="1"/>
  <c r="M6" i="9"/>
  <c r="I6" i="9"/>
  <c r="J6" i="9" s="1"/>
  <c r="E6" i="9"/>
  <c r="E5" i="9"/>
  <c r="I12" i="9" s="1"/>
  <c r="J12" i="9" s="1"/>
  <c r="I4" i="9"/>
  <c r="J4" i="9" s="1"/>
  <c r="M3" i="9"/>
  <c r="I3" i="9"/>
  <c r="J3" i="9" s="1"/>
  <c r="I2" i="9" l="1"/>
  <c r="J2" i="9" s="1"/>
  <c r="G7" i="9"/>
  <c r="L9" i="9"/>
  <c r="L11" i="9" s="1"/>
  <c r="L26" i="9" s="1"/>
  <c r="I13" i="9"/>
  <c r="J13" i="9" s="1"/>
  <c r="G5" i="9"/>
  <c r="I5" i="9"/>
  <c r="J5" i="9" s="1"/>
  <c r="I7" i="9"/>
  <c r="J7" i="9" s="1"/>
</calcChain>
</file>

<file path=xl/sharedStrings.xml><?xml version="1.0" encoding="utf-8"?>
<sst xmlns="http://schemas.openxmlformats.org/spreadsheetml/2006/main" count="552" uniqueCount="286">
  <si>
    <t>Weight / M ?</t>
  </si>
  <si>
    <t xml:space="preserve">% </t>
  </si>
  <si>
    <t>FOB</t>
  </si>
  <si>
    <t>C&amp;F</t>
  </si>
  <si>
    <t>Conversions</t>
  </si>
  <si>
    <t>Metric</t>
  </si>
  <si>
    <t>US</t>
  </si>
  <si>
    <t>Length (inches)  ?</t>
  </si>
  <si>
    <t>PRICE</t>
  </si>
  <si>
    <t>INR</t>
  </si>
  <si>
    <t>TL Cx</t>
  </si>
  <si>
    <t>cm</t>
  </si>
  <si>
    <t>in</t>
  </si>
  <si>
    <t>Per pound price</t>
  </si>
  <si>
    <t>Freight ?</t>
  </si>
  <si>
    <t>Cntr cost</t>
  </si>
  <si>
    <t>Freight =</t>
  </si>
  <si>
    <t>Per unit freight cost</t>
  </si>
  <si>
    <t>inches</t>
  </si>
  <si>
    <t xml:space="preserve">Qty per 40' cntr = </t>
  </si>
  <si>
    <t>C&amp;F =</t>
  </si>
  <si>
    <t>Incl. freight</t>
  </si>
  <si>
    <t># of plts ?</t>
  </si>
  <si>
    <t>Load</t>
  </si>
  <si>
    <t>Qty ?</t>
  </si>
  <si>
    <t>Order Information</t>
  </si>
  <si>
    <t>Info</t>
  </si>
  <si>
    <t>TL's</t>
  </si>
  <si>
    <t>Px</t>
  </si>
  <si>
    <t>each</t>
  </si>
  <si>
    <t xml:space="preserve">Pieces / skid = </t>
  </si>
  <si>
    <t>Round</t>
  </si>
  <si>
    <t>Qty</t>
  </si>
  <si>
    <t>pcs</t>
  </si>
  <si>
    <t>Round QTY</t>
  </si>
  <si>
    <t>$ Amt</t>
  </si>
  <si>
    <t>Net</t>
  </si>
  <si>
    <t>Net Wt.</t>
  </si>
  <si>
    <t>Gros Wt.</t>
  </si>
  <si>
    <t>Gross</t>
  </si>
  <si>
    <t>Mixed/combination loads</t>
  </si>
  <si>
    <t>Weight A</t>
  </si>
  <si>
    <t>Weight B</t>
  </si>
  <si>
    <t>Wt/M ?</t>
  </si>
  <si>
    <t>Length ?</t>
  </si>
  <si>
    <t>Weights</t>
  </si>
  <si>
    <t xml:space="preserve">Net = </t>
  </si>
  <si>
    <t>Lbs</t>
  </si>
  <si>
    <t>(A+B)</t>
  </si>
  <si>
    <t>per piece</t>
  </si>
  <si>
    <t>per 1000</t>
  </si>
  <si>
    <t>Weight C</t>
  </si>
  <si>
    <t>Weight D</t>
  </si>
  <si>
    <t>enter pallet qty</t>
  </si>
  <si>
    <t>plts</t>
  </si>
  <si>
    <t>pcs per plt</t>
  </si>
  <si>
    <t>weight per plt</t>
  </si>
  <si>
    <t>(C+D)</t>
  </si>
  <si>
    <t xml:space="preserve">Total wt. </t>
  </si>
  <si>
    <t>TOTAL</t>
  </si>
  <si>
    <t>Weight E</t>
  </si>
  <si>
    <t>Weight F</t>
  </si>
  <si>
    <t>(E+F)</t>
  </si>
  <si>
    <t>Weight G</t>
  </si>
  <si>
    <t>Weight H</t>
  </si>
  <si>
    <t>(G+H)</t>
  </si>
  <si>
    <t>Name</t>
  </si>
  <si>
    <t>Narine, Suresh</t>
  </si>
  <si>
    <t>Raman, Jagruti</t>
  </si>
  <si>
    <t>Sen, Abdul</t>
  </si>
  <si>
    <t>Mital, Megha</t>
  </si>
  <si>
    <t>Karpe, Navami</t>
  </si>
  <si>
    <t>Trivedi, Diya</t>
  </si>
  <si>
    <t>Devi, Albert</t>
  </si>
  <si>
    <t>Binnani, Aayushman</t>
  </si>
  <si>
    <t>Gill, Sameera</t>
  </si>
  <si>
    <t>Varghese, Narayan</t>
  </si>
  <si>
    <t>Chawla, Kartik</t>
  </si>
  <si>
    <t>Sule, Prerna</t>
  </si>
  <si>
    <t>Chhabra, Padmini</t>
  </si>
  <si>
    <t>Desai, Ibrahim</t>
  </si>
  <si>
    <t>Bawa, Kusum</t>
  </si>
  <si>
    <t>Rajagopal, Bijoy</t>
  </si>
  <si>
    <t>Thakkar, Harpreet</t>
  </si>
  <si>
    <t>Shenoy, Bijoy</t>
  </si>
  <si>
    <t>Lanka, Natwar</t>
  </si>
  <si>
    <t>Naidu, Anand</t>
  </si>
  <si>
    <t>Inani, Ehsaan</t>
  </si>
  <si>
    <t>Basak, Sushmita</t>
  </si>
  <si>
    <t>Tandon, Richa</t>
  </si>
  <si>
    <t>Jain, Prasoon</t>
  </si>
  <si>
    <t>Bakshi, Satishwar</t>
  </si>
  <si>
    <t>Ghosh, Umar</t>
  </si>
  <si>
    <t>Shere, Sweta</t>
  </si>
  <si>
    <t>Harjo, Gowri</t>
  </si>
  <si>
    <t>Chowdhury, Heer</t>
  </si>
  <si>
    <t>Shenoy, Anand</t>
  </si>
  <si>
    <t>Gera, Qadim</t>
  </si>
  <si>
    <t>Sane, Ankita</t>
  </si>
  <si>
    <t>Parmer, Charu</t>
  </si>
  <si>
    <t>Banerjee, Anees</t>
  </si>
  <si>
    <t>Choudhary, Aditya</t>
  </si>
  <si>
    <t>Sampath, Rehman</t>
  </si>
  <si>
    <t>Borah, Lata</t>
  </si>
  <si>
    <t>Chana, Anshula</t>
  </si>
  <si>
    <t>Bedi, Richa</t>
  </si>
  <si>
    <t>Chand, Malik</t>
  </si>
  <si>
    <t>Dial, Akhil</t>
  </si>
  <si>
    <t>Anand, Mohan</t>
  </si>
  <si>
    <t>Dhar, Drishti</t>
  </si>
  <si>
    <t>Gopal Nagar, Ram</t>
  </si>
  <si>
    <t>Chokshi, Mohit</t>
  </si>
  <si>
    <t>Kapoor, Arun</t>
  </si>
  <si>
    <t>Pillai, Baber</t>
  </si>
  <si>
    <t>Oza, Prabhat</t>
  </si>
  <si>
    <t>Wadhwa, Ragini</t>
  </si>
  <si>
    <t>Mukhopadhyay, Nalini</t>
  </si>
  <si>
    <t>Dube, Meghana</t>
  </si>
  <si>
    <t>Persaud, Mohan</t>
  </si>
  <si>
    <t>Vohra, Urvashi</t>
  </si>
  <si>
    <t>Luthra, Bhaagyasree</t>
  </si>
  <si>
    <t>Garde, Anjana</t>
  </si>
  <si>
    <t>Grover, Rimi</t>
  </si>
  <si>
    <t>Dass, Kasturi</t>
  </si>
  <si>
    <t>Anne, Jack</t>
  </si>
  <si>
    <t>Dave, Rachel</t>
  </si>
  <si>
    <t>Memon, Sameera</t>
  </si>
  <si>
    <t>Sabharwal, Deepesh</t>
  </si>
  <si>
    <t>Badami, Esha</t>
  </si>
  <si>
    <t>Subramanian, Kanika</t>
  </si>
  <si>
    <t>Somani, Nutan</t>
  </si>
  <si>
    <t>Bhat, Ramesh</t>
  </si>
  <si>
    <t>Badami, Subhash</t>
  </si>
  <si>
    <t>Shan, Ganesh</t>
  </si>
  <si>
    <t>Lalla, Akanksha</t>
  </si>
  <si>
    <t>Masih, Charu</t>
  </si>
  <si>
    <t>Chawla, Roma</t>
  </si>
  <si>
    <t>Borra, Iqbal</t>
  </si>
  <si>
    <t>Taneja, Nishita</t>
  </si>
  <si>
    <t>Kabra, Sirish</t>
  </si>
  <si>
    <t>Ram, Kalpana</t>
  </si>
  <si>
    <t>Gour, Mustafa</t>
  </si>
  <si>
    <t>Choudhry, Nitin</t>
  </si>
  <si>
    <t>Sidhu, Baalkrishan</t>
  </si>
  <si>
    <t>Jacob, Smriti</t>
  </si>
  <si>
    <t>Sur, Supriya</t>
  </si>
  <si>
    <t>Patil, Jagat</t>
  </si>
  <si>
    <t>Mistry, Madhavi</t>
  </si>
  <si>
    <t>Bal, Subhash</t>
  </si>
  <si>
    <t>Vig, Vineeta</t>
  </si>
  <si>
    <t>Kale, Manish</t>
  </si>
  <si>
    <t>Joshi, Chitranjan</t>
  </si>
  <si>
    <t>Kapadia, Heena</t>
  </si>
  <si>
    <t>Johal, Mohanlal</t>
  </si>
  <si>
    <t>Ramakrishnan, Abdul</t>
  </si>
  <si>
    <t>Bahl, Jayshree</t>
  </si>
  <si>
    <t>Bhargava, Aatif</t>
  </si>
  <si>
    <t>Roy, Satish</t>
  </si>
  <si>
    <t>Bhatia, Aishwarya</t>
  </si>
  <si>
    <t>Kata, Sheetal</t>
  </si>
  <si>
    <t>Varma, Julie</t>
  </si>
  <si>
    <t>Ramroop, Umar</t>
  </si>
  <si>
    <t>Krishnamurthy, Rakhi</t>
  </si>
  <si>
    <t>Mukhopadhyay, Nilima</t>
  </si>
  <si>
    <t>Sidhu, Raj</t>
  </si>
  <si>
    <t>RateTable</t>
  </si>
  <si>
    <t>Score</t>
  </si>
  <si>
    <t>Rating</t>
  </si>
  <si>
    <t>Numerical Score</t>
  </si>
  <si>
    <t>Excellent</t>
  </si>
  <si>
    <t>Anand, Nawab</t>
  </si>
  <si>
    <t>Fair</t>
  </si>
  <si>
    <t>Very Good</t>
  </si>
  <si>
    <t>Good</t>
  </si>
  <si>
    <t>Apte, Samir</t>
  </si>
  <si>
    <t>Satisfactory</t>
  </si>
  <si>
    <t>Banerjee, Payal</t>
  </si>
  <si>
    <t>Lousy</t>
  </si>
  <si>
    <t>Poor</t>
  </si>
  <si>
    <t>Bassi, Isha</t>
  </si>
  <si>
    <t>Fail</t>
  </si>
  <si>
    <t>Bawa, Mohan</t>
  </si>
  <si>
    <t>Boase, Devika</t>
  </si>
  <si>
    <t>Borah, Nazir</t>
  </si>
  <si>
    <t>Borde, Neha</t>
  </si>
  <si>
    <t>Borra, Gayatri</t>
  </si>
  <si>
    <t>Brar, Aniruddh</t>
  </si>
  <si>
    <t>Chada, Devendra</t>
  </si>
  <si>
    <t>Chahal, Wahid</t>
  </si>
  <si>
    <t>Chaudhuri, Tushar</t>
  </si>
  <si>
    <t>Cherian, Sameera</t>
  </si>
  <si>
    <t>Dada, Vimala</t>
  </si>
  <si>
    <t>Dash, Peter</t>
  </si>
  <si>
    <t>De, Malik</t>
  </si>
  <si>
    <t>Din, Ambika</t>
  </si>
  <si>
    <t>Dodiya, Nitika</t>
  </si>
  <si>
    <t>Dubey, Raj</t>
  </si>
  <si>
    <t>Ganesan, Govind</t>
  </si>
  <si>
    <t>Ghosh, Seema</t>
  </si>
  <si>
    <t>Gole, Saurabh</t>
  </si>
  <si>
    <t>Gopal Choudhry, Ram</t>
  </si>
  <si>
    <t>Gopal, Laveena</t>
  </si>
  <si>
    <t>Grover, Lalita</t>
  </si>
  <si>
    <t>Guha, Nupoor</t>
  </si>
  <si>
    <t>Gulati, Rakhi</t>
  </si>
  <si>
    <t>Iyengar, Kunti</t>
  </si>
  <si>
    <t>Kapur, Aisha</t>
  </si>
  <si>
    <t>Kibe, Gulzar</t>
  </si>
  <si>
    <t>Krishnamurthy, Kirti</t>
  </si>
  <si>
    <t>Krishnan, Bhola</t>
  </si>
  <si>
    <t>Kurian, Hemendra</t>
  </si>
  <si>
    <t>Lalla, Devika</t>
  </si>
  <si>
    <t>Loyal, Sukriti</t>
  </si>
  <si>
    <t>Maharaj, Aarif</t>
  </si>
  <si>
    <t>Majumdar, Anusha</t>
  </si>
  <si>
    <t>Mammen, Sharad</t>
  </si>
  <si>
    <t>Divan, Ajitabh</t>
  </si>
  <si>
    <t>Bhatti, Acalendra</t>
  </si>
  <si>
    <t>Deep, Charvi</t>
  </si>
  <si>
    <t>Kaul, Hiranmayi</t>
  </si>
  <si>
    <t>Sabharwal, Ashraf</t>
  </si>
  <si>
    <t>Dora, Akalka</t>
  </si>
  <si>
    <t>Kota, Deeba</t>
  </si>
  <si>
    <t>Natt, Aparijita</t>
  </si>
  <si>
    <t>Golla, Alisha</t>
  </si>
  <si>
    <t>Singhal, Vipin</t>
  </si>
  <si>
    <t>Handa, Chittaranjan</t>
  </si>
  <si>
    <t>Om, Dharmpal</t>
  </si>
  <si>
    <t>Balasubramanian, Gayan</t>
  </si>
  <si>
    <t>Jhaveri, Ameya</t>
  </si>
  <si>
    <t>Deo, Chatura</t>
  </si>
  <si>
    <t>Chandra, Chandramathi</t>
  </si>
  <si>
    <t>Balakrishnan, Brahmadutt</t>
  </si>
  <si>
    <t>Murthy, Devyani</t>
  </si>
  <si>
    <t>Pingle, Arivumadhi</t>
  </si>
  <si>
    <t>Mand, Nila</t>
  </si>
  <si>
    <t>Sandhu, Atal</t>
  </si>
  <si>
    <t>Nadig, Dhananjay</t>
  </si>
  <si>
    <t>Lalla, Anasuya</t>
  </si>
  <si>
    <t>Dhar, Hariganga</t>
  </si>
  <si>
    <t>Oza, Arati</t>
  </si>
  <si>
    <t>Rajagopal, Sachet</t>
  </si>
  <si>
    <t>Bhasin, Abhyudita</t>
  </si>
  <si>
    <t>Khalsa, Hiranyadha</t>
  </si>
  <si>
    <t>Mall, Dev</t>
  </si>
  <si>
    <t>Lad, Anantram</t>
  </si>
  <si>
    <t>Sachdeva, Edhitha</t>
  </si>
  <si>
    <t>Bhasin, Pratik</t>
  </si>
  <si>
    <t>Dalal, Aghat</t>
  </si>
  <si>
    <t>Khurana, Dayasagara</t>
  </si>
  <si>
    <t>Dhillon, Ajeeta</t>
  </si>
  <si>
    <t>Bhatnagar, Abjit</t>
  </si>
  <si>
    <t>Baral, Chadna</t>
  </si>
  <si>
    <t>Tata, Bansi</t>
  </si>
  <si>
    <t>Dixit, Chhaya</t>
  </si>
  <si>
    <t>Sarna, Ekapad</t>
  </si>
  <si>
    <t>Chokshi, Chandrika</t>
  </si>
  <si>
    <t>Krishnamurthy, Hriman</t>
  </si>
  <si>
    <t>Kapadia, Krupa</t>
  </si>
  <si>
    <t>Tara, Jinendra</t>
  </si>
  <si>
    <t>Swaminathan, Faraz</t>
  </si>
  <si>
    <t>Iyengar, Ambar</t>
  </si>
  <si>
    <t>Shan, Vinay</t>
  </si>
  <si>
    <t>Joshi, Krishnakanta</t>
  </si>
  <si>
    <t>Sehgal, Avanti</t>
  </si>
  <si>
    <t>Gara, Akshit</t>
  </si>
  <si>
    <t>Muni, Anulekha</t>
  </si>
  <si>
    <t>Kannan, Rajshri</t>
  </si>
  <si>
    <t>Kumar, Ananga</t>
  </si>
  <si>
    <t>Kulkarni, Deepali</t>
  </si>
  <si>
    <t>Chauhan, Adityavardhana</t>
  </si>
  <si>
    <t>Bhatia, Abjayoni</t>
  </si>
  <si>
    <t>Mannan, Ilesh</t>
  </si>
  <si>
    <t>Lala, Anarghya</t>
  </si>
  <si>
    <t>Pandit, Dheivamani</t>
  </si>
  <si>
    <t>Kakar, Hemendra</t>
  </si>
  <si>
    <t>Das, Hakesh</t>
  </si>
  <si>
    <t>Bhalla, Champabati</t>
  </si>
  <si>
    <t>Mander, Devadatta</t>
  </si>
  <si>
    <t>Gill, Harshada</t>
  </si>
  <si>
    <t>Dugal, Haripriya</t>
  </si>
  <si>
    <t>Biswas, Acarya</t>
  </si>
  <si>
    <t>Pant, Dhevaneyan</t>
  </si>
  <si>
    <t>Tiwari, Fawiza</t>
  </si>
  <si>
    <r>
      <rPr>
        <b/>
        <sz val="11"/>
        <rFont val="Trebuchet MS"/>
        <family val="2"/>
        <scheme val="minor"/>
      </rPr>
      <t>Prompts</t>
    </r>
    <r>
      <rPr>
        <sz val="11"/>
        <rFont val="Trebuchet MS"/>
        <family val="2"/>
        <scheme val="minor"/>
      </rPr>
      <t>: You're an excel expert. I have ratings from column e2 to e213. Rate table in column a2 to b8. Help me get the exact numerical score by matching rating from column e and column a and numerical score in column b</t>
    </r>
  </si>
  <si>
    <r>
      <rPr>
        <b/>
        <sz val="11"/>
        <rFont val="Trebuchet MS"/>
        <family val="2"/>
        <scheme val="minor"/>
      </rPr>
      <t>Prompts:</t>
    </r>
    <r>
      <rPr>
        <sz val="11"/>
        <rFont val="Trebuchet MS"/>
        <family val="2"/>
        <scheme val="minor"/>
      </rPr>
      <t xml:space="preserve"> i have an excel. I want populate the F column based on the Data present in E column comparing A and B column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</si>
</sst>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&quot;₹&quot;\ * #,##0.00_ ;_ &quot;₹&quot;\ * \-#,##0.00_ ;_ &quot;₹&quot;\ * &quot;-&quot;??_ ;_ @_ "/>
    <numFmt numFmtId="165" formatCode="_(* #,##0_);_(* \(#,##0\);_(* &quot;-&quot;??_);_(@_)"/>
    <numFmt numFmtId="166" formatCode="_ [$₹-4009]\ * #,##0.00_ ;_ [$₹-4009]\ * \-#,##0.00_ ;_ [$₹-4009]\ * &quot;-&quot;??_ ;_ @_ "/>
    <numFmt numFmtId="167" formatCode="_(&quot;$&quot;* #,##0_);_(&quot;$&quot;* \(#,##0\);_(&quot;$&quot;* &quot;-&quot;??_);_(@_)"/>
    <numFmt numFmtId="168" formatCode="_(&quot;$&quot;* #,##0.0000_);_(&quot;$&quot;* \(#,##0.0000\);_(&quot;$&quot;* &quot;-&quot;??_);_(@_)"/>
    <numFmt numFmtId="169" formatCode="_ &quot;₹&quot;\ * #,##0.0000_ ;_ &quot;₹&quot;\ * \-#,##0.0000_ ;_ &quot;₹&quot;\ * &quot;-&quot;??_ ;_ @_ "/>
    <numFmt numFmtId="170" formatCode="0.000"/>
    <numFmt numFmtId="171" formatCode="_ &quot;₹&quot;\ * #,##0.000_ ;_ &quot;₹&quot;\ * \-#,##0.000_ ;_ &quot;₹&quot;\ * &quot;-&quot;??_ ;_ @_ "/>
    <numFmt numFmtId="172" formatCode="_(* #,##0.000_);_(* \(#,##0.000\);_(* &quot;-&quot;??_);_(@_)"/>
    <numFmt numFmtId="173" formatCode="&quot;$&quot;#,##0"/>
  </numFmts>
  <fonts count="15" x14ac:knownFonts="1">
    <font>
      <sz val="11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0"/>
      <name val="Arial"/>
      <family val="2"/>
    </font>
    <font>
      <sz val="11"/>
      <name val="Trebuchet MS"/>
      <family val="2"/>
      <scheme val="minor"/>
    </font>
    <font>
      <b/>
      <sz val="11"/>
      <name val="Trebuchet MS"/>
      <family val="2"/>
      <scheme val="minor"/>
    </font>
    <font>
      <b/>
      <sz val="11"/>
      <color theme="0"/>
      <name val="Trebuchet MS"/>
      <family val="2"/>
      <scheme val="minor"/>
    </font>
    <font>
      <b/>
      <sz val="14"/>
      <color theme="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6" tint="0.79998168889431442"/>
      <name val="Trebuchet MS"/>
      <family val="2"/>
      <scheme val="minor"/>
    </font>
    <font>
      <sz val="11"/>
      <color theme="1"/>
      <name val="Calibri"/>
      <family val="2"/>
    </font>
    <font>
      <b/>
      <u/>
      <sz val="14"/>
      <color theme="0"/>
      <name val="Calibri"/>
      <family val="2"/>
    </font>
    <font>
      <strike/>
      <sz val="11"/>
      <name val="Calibri"/>
      <family val="2"/>
    </font>
    <font>
      <b/>
      <sz val="14"/>
      <color indexed="9"/>
      <name val="Calibri"/>
      <family val="2"/>
    </font>
    <font>
      <sz val="13.5"/>
      <color rgb="FF000000"/>
      <name val="Trebuchet MS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3" tint="-0.499984740745262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10"/>
      </left>
      <right style="medium">
        <color indexed="10"/>
      </right>
      <top style="medium">
        <color indexed="10"/>
      </top>
      <bottom style="medium">
        <color indexed="10"/>
      </bottom>
      <diagonal/>
    </border>
  </borders>
  <cellStyleXfs count="11">
    <xf numFmtId="0" fontId="0" fillId="0" borderId="0"/>
    <xf numFmtId="0" fontId="2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3" fillId="0" borderId="0" xfId="1" applyFont="1"/>
    <xf numFmtId="0" fontId="3" fillId="0" borderId="4" xfId="1" applyFont="1" applyBorder="1"/>
    <xf numFmtId="0" fontId="3" fillId="0" borderId="5" xfId="1" applyFont="1" applyBorder="1"/>
    <xf numFmtId="0" fontId="3" fillId="0" borderId="6" xfId="1" applyFont="1" applyBorder="1"/>
    <xf numFmtId="0" fontId="3" fillId="0" borderId="7" xfId="1" applyFont="1" applyBorder="1"/>
    <xf numFmtId="9" fontId="3" fillId="0" borderId="0" xfId="4" applyFont="1"/>
    <xf numFmtId="0" fontId="5" fillId="2" borderId="3" xfId="1" applyFont="1" applyFill="1" applyBorder="1"/>
    <xf numFmtId="0" fontId="9" fillId="2" borderId="1" xfId="1" applyFont="1" applyFill="1" applyBorder="1" applyAlignment="1">
      <alignment horizontal="center"/>
    </xf>
    <xf numFmtId="0" fontId="9" fillId="2" borderId="2" xfId="1" applyFont="1" applyFill="1" applyBorder="1" applyAlignment="1">
      <alignment horizontal="center"/>
    </xf>
    <xf numFmtId="0" fontId="5" fillId="0" borderId="0" xfId="1" applyFont="1"/>
    <xf numFmtId="9" fontId="3" fillId="0" borderId="0" xfId="4" applyFont="1" applyFill="1"/>
    <xf numFmtId="0" fontId="7" fillId="0" borderId="0" xfId="1" applyFont="1" applyAlignment="1">
      <alignment vertical="top"/>
    </xf>
    <xf numFmtId="0" fontId="7" fillId="0" borderId="0" xfId="1" applyFont="1" applyAlignment="1">
      <alignment horizontal="center" vertical="top"/>
    </xf>
    <xf numFmtId="167" fontId="7" fillId="0" borderId="0" xfId="9" applyNumberFormat="1" applyFont="1" applyFill="1" applyAlignment="1">
      <alignment vertical="top"/>
    </xf>
    <xf numFmtId="168" fontId="7" fillId="0" borderId="0" xfId="1" applyNumberFormat="1" applyFont="1" applyAlignment="1">
      <alignment horizontal="center" vertical="top"/>
    </xf>
    <xf numFmtId="0" fontId="7" fillId="0" borderId="0" xfId="1" applyFont="1"/>
    <xf numFmtId="0" fontId="7" fillId="0" borderId="0" xfId="1" applyFont="1" applyAlignment="1">
      <alignment horizontal="center"/>
    </xf>
    <xf numFmtId="167" fontId="7" fillId="0" borderId="0" xfId="1" applyNumberFormat="1" applyFont="1"/>
    <xf numFmtId="169" fontId="7" fillId="0" borderId="0" xfId="10" applyNumberFormat="1" applyFont="1" applyFill="1"/>
    <xf numFmtId="164" fontId="7" fillId="0" borderId="0" xfId="10" applyFont="1" applyFill="1"/>
    <xf numFmtId="2" fontId="7" fillId="0" borderId="0" xfId="1" applyNumberFormat="1" applyFont="1" applyAlignment="1">
      <alignment horizontal="center"/>
    </xf>
    <xf numFmtId="166" fontId="7" fillId="0" borderId="0" xfId="9" applyNumberFormat="1" applyFont="1" applyFill="1" applyAlignment="1">
      <alignment horizontal="center"/>
    </xf>
    <xf numFmtId="0" fontId="7" fillId="0" borderId="0" xfId="1" applyFont="1" applyAlignment="1">
      <alignment horizontal="right"/>
    </xf>
    <xf numFmtId="167" fontId="7" fillId="0" borderId="0" xfId="9" applyNumberFormat="1" applyFont="1" applyFill="1" applyAlignment="1">
      <alignment horizontal="center"/>
    </xf>
    <xf numFmtId="164" fontId="7" fillId="0" borderId="0" xfId="10" applyFont="1" applyFill="1" applyAlignment="1">
      <alignment horizontal="right"/>
    </xf>
    <xf numFmtId="170" fontId="7" fillId="0" borderId="0" xfId="1" applyNumberFormat="1" applyFont="1" applyAlignment="1">
      <alignment horizontal="left"/>
    </xf>
    <xf numFmtId="165" fontId="12" fillId="0" borderId="0" xfId="2" applyNumberFormat="1" applyFont="1" applyFill="1" applyAlignment="1">
      <alignment horizontal="center"/>
    </xf>
    <xf numFmtId="170" fontId="7" fillId="0" borderId="0" xfId="1" applyNumberFormat="1" applyFont="1" applyAlignment="1">
      <alignment horizontal="center"/>
    </xf>
    <xf numFmtId="165" fontId="7" fillId="0" borderId="0" xfId="2" applyNumberFormat="1" applyFont="1" applyFill="1" applyAlignment="1">
      <alignment horizontal="center"/>
    </xf>
    <xf numFmtId="165" fontId="7" fillId="0" borderId="0" xfId="2" applyNumberFormat="1" applyFont="1" applyFill="1" applyAlignment="1">
      <alignment horizontal="right"/>
    </xf>
    <xf numFmtId="43" fontId="7" fillId="0" borderId="0" xfId="1" applyNumberFormat="1" applyFont="1" applyAlignment="1">
      <alignment horizontal="right"/>
    </xf>
    <xf numFmtId="171" fontId="7" fillId="0" borderId="0" xfId="10" applyNumberFormat="1" applyFont="1" applyFill="1"/>
    <xf numFmtId="166" fontId="7" fillId="0" borderId="0" xfId="1" applyNumberFormat="1" applyFont="1"/>
    <xf numFmtId="43" fontId="12" fillId="0" borderId="0" xfId="2" applyFont="1" applyFill="1" applyAlignment="1">
      <alignment horizontal="center"/>
    </xf>
    <xf numFmtId="43" fontId="7" fillId="0" borderId="0" xfId="1" applyNumberFormat="1" applyFont="1"/>
    <xf numFmtId="165" fontId="7" fillId="0" borderId="0" xfId="1" applyNumberFormat="1" applyFont="1"/>
    <xf numFmtId="0" fontId="7" fillId="0" borderId="0" xfId="1" applyFont="1" applyAlignment="1">
      <alignment horizontal="left"/>
    </xf>
    <xf numFmtId="43" fontId="7" fillId="0" borderId="0" xfId="2" applyFont="1" applyFill="1" applyAlignment="1">
      <alignment horizontal="center"/>
    </xf>
    <xf numFmtId="165" fontId="7" fillId="0" borderId="0" xfId="2" applyNumberFormat="1" applyFont="1" applyFill="1" applyAlignment="1">
      <alignment horizontal="left"/>
    </xf>
    <xf numFmtId="165" fontId="7" fillId="0" borderId="0" xfId="2" applyNumberFormat="1" applyFont="1" applyFill="1"/>
    <xf numFmtId="0" fontId="8" fillId="0" borderId="0" xfId="1" applyFont="1"/>
    <xf numFmtId="168" fontId="7" fillId="0" borderId="0" xfId="1" applyNumberFormat="1" applyFont="1"/>
    <xf numFmtId="0" fontId="7" fillId="0" borderId="4" xfId="1" applyFont="1" applyBorder="1"/>
    <xf numFmtId="172" fontId="7" fillId="0" borderId="0" xfId="2" applyNumberFormat="1" applyFont="1" applyFill="1" applyAlignment="1">
      <alignment horizontal="right"/>
    </xf>
    <xf numFmtId="0" fontId="7" fillId="0" borderId="5" xfId="1" applyFont="1" applyBorder="1"/>
    <xf numFmtId="0" fontId="7" fillId="0" borderId="4" xfId="1" applyFont="1" applyBorder="1" applyAlignment="1">
      <alignment horizontal="left"/>
    </xf>
    <xf numFmtId="165" fontId="7" fillId="0" borderId="0" xfId="1" applyNumberFormat="1" applyFont="1" applyAlignment="1">
      <alignment horizontal="right"/>
    </xf>
    <xf numFmtId="0" fontId="7" fillId="0" borderId="6" xfId="1" applyFont="1" applyBorder="1" applyAlignment="1">
      <alignment horizontal="left"/>
    </xf>
    <xf numFmtId="0" fontId="7" fillId="0" borderId="11" xfId="1" applyFont="1" applyBorder="1" applyAlignment="1">
      <alignment horizontal="center"/>
    </xf>
    <xf numFmtId="165" fontId="7" fillId="0" borderId="11" xfId="1" applyNumberFormat="1" applyFont="1" applyBorder="1" applyAlignment="1">
      <alignment horizontal="right"/>
    </xf>
    <xf numFmtId="0" fontId="7" fillId="0" borderId="7" xfId="1" applyFont="1" applyBorder="1"/>
    <xf numFmtId="165" fontId="8" fillId="0" borderId="0" xfId="1" applyNumberFormat="1" applyFont="1"/>
    <xf numFmtId="0" fontId="8" fillId="0" borderId="0" xfId="1" applyFont="1" applyAlignment="1">
      <alignment horizontal="center"/>
    </xf>
    <xf numFmtId="3" fontId="7" fillId="0" borderId="0" xfId="1" applyNumberFormat="1" applyFont="1"/>
    <xf numFmtId="173" fontId="7" fillId="0" borderId="0" xfId="1" applyNumberFormat="1" applyFont="1"/>
    <xf numFmtId="6" fontId="8" fillId="0" borderId="0" xfId="1" applyNumberFormat="1" applyFont="1"/>
    <xf numFmtId="6" fontId="7" fillId="0" borderId="0" xfId="1" applyNumberFormat="1" applyFont="1"/>
    <xf numFmtId="173" fontId="8" fillId="0" borderId="0" xfId="1" applyNumberFormat="1" applyFont="1"/>
    <xf numFmtId="0" fontId="3" fillId="0" borderId="0" xfId="1" applyFont="1" applyProtection="1">
      <protection locked="0"/>
    </xf>
    <xf numFmtId="0" fontId="14" fillId="0" borderId="0" xfId="0" applyFont="1" applyAlignment="1">
      <alignment wrapText="1"/>
    </xf>
    <xf numFmtId="2" fontId="11" fillId="3" borderId="12" xfId="1" applyNumberFormat="1" applyFont="1" applyFill="1" applyBorder="1" applyAlignment="1">
      <alignment horizontal="center"/>
    </xf>
    <xf numFmtId="43" fontId="6" fillId="3" borderId="12" xfId="2" applyFont="1" applyFill="1" applyBorder="1" applyAlignment="1">
      <alignment horizontal="left"/>
    </xf>
    <xf numFmtId="0" fontId="13" fillId="0" borderId="8" xfId="1" applyFont="1" applyBorder="1" applyAlignment="1">
      <alignment horizontal="center"/>
    </xf>
    <xf numFmtId="0" fontId="13" fillId="0" borderId="9" xfId="1" applyFont="1" applyBorder="1" applyAlignment="1">
      <alignment horizontal="center"/>
    </xf>
    <xf numFmtId="0" fontId="13" fillId="0" borderId="10" xfId="1" applyFont="1" applyBorder="1" applyAlignment="1">
      <alignment horizontal="center"/>
    </xf>
  </cellXfs>
  <cellStyles count="11">
    <cellStyle name="Comma 2" xfId="2" xr:uid="{CBCBFF63-45EF-459C-8219-697F41511BED}"/>
    <cellStyle name="Comma 3" xfId="5" xr:uid="{539BCDBE-982C-415E-BD72-2168E58BCE09}"/>
    <cellStyle name="Comma 4" xfId="7" xr:uid="{9C0B5FA6-57AF-4B14-9FFB-92446C86CC25}"/>
    <cellStyle name="Currency 2" xfId="9" xr:uid="{693AC32A-F26C-4AED-A44C-9C19C8469DED}"/>
    <cellStyle name="Currency 3" xfId="10" xr:uid="{C77748FE-3AF9-402E-9780-EA109AF61FA6}"/>
    <cellStyle name="Normal" xfId="0" builtinId="0"/>
    <cellStyle name="Normal 2" xfId="1" xr:uid="{822F80AC-357D-49F7-8502-E23DB215F90C}"/>
    <cellStyle name="Normal 4" xfId="6" xr:uid="{72BB9F9C-516B-4F89-B865-5CE2ED52FE09}"/>
    <cellStyle name="Percent 2" xfId="3" xr:uid="{34CB0FCD-531E-4204-A16B-CB45E0BDF2C1}"/>
    <cellStyle name="Percent 2 2" xfId="4" xr:uid="{9BFBB039-BE36-47FA-AEC5-2A71C0B58A5C}"/>
    <cellStyle name="Percent 3" xfId="8" xr:uid="{C3362D78-88EE-4A34-A72D-7BB78C5AC4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Facet">
  <a:themeElements>
    <a:clrScheme name="Facet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E83C77C-85C2-406D-BF18-7724D2B52807}">
  <we:reference id="WA104379190" version="2.0.0.0" store="en-US" storeType="omex"/>
  <we:alternateReferences>
    <we:reference id="WA104379190" version="2.0.0.0" store="en-US" storeType="omex"/>
  </we:alternateReferences>
  <we:properties/>
  <we:bindings>
    <we:binding id="RangeSelect" type="matrix" appref="{8B71290B-A1A5-477C-8E64-19526ED00BAD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267CA-C051-47EB-A7B6-46251B15EC37}">
  <sheetPr>
    <tabColor theme="3"/>
    <pageSetUpPr fitToPage="1"/>
  </sheetPr>
  <dimension ref="A1:S60"/>
  <sheetViews>
    <sheetView zoomScaleNormal="100" zoomScalePageLayoutView="175" workbookViewId="0">
      <selection activeCell="E18" sqref="E18"/>
    </sheetView>
  </sheetViews>
  <sheetFormatPr baseColWidth="10" defaultColWidth="21.1640625" defaultRowHeight="15" x14ac:dyDescent="0.2"/>
  <cols>
    <col min="1" max="1" width="23.6640625" style="16" customWidth="1"/>
    <col min="2" max="2" width="18.1640625" style="16" customWidth="1"/>
    <col min="3" max="3" width="3.83203125" style="16" bestFit="1" customWidth="1"/>
    <col min="4" max="4" width="12.6640625" style="16" bestFit="1" customWidth="1"/>
    <col min="5" max="5" width="9.83203125" style="16" bestFit="1" customWidth="1"/>
    <col min="6" max="6" width="18" style="16" bestFit="1" customWidth="1"/>
    <col min="7" max="7" width="11.6640625" style="16" bestFit="1" customWidth="1"/>
    <col min="8" max="8" width="5.6640625" style="16" bestFit="1" customWidth="1"/>
    <col min="9" max="9" width="8.6640625" style="42" bestFit="1" customWidth="1"/>
    <col min="10" max="10" width="14.33203125" style="16" bestFit="1" customWidth="1"/>
    <col min="11" max="11" width="7.5" style="17" bestFit="1" customWidth="1"/>
    <col min="12" max="12" width="16.6640625" style="16" bestFit="1" customWidth="1"/>
    <col min="13" max="13" width="6.33203125" style="16" bestFit="1" customWidth="1"/>
    <col min="14" max="14" width="3.33203125" style="16" bestFit="1" customWidth="1"/>
    <col min="15" max="16384" width="21.1640625" style="16"/>
  </cols>
  <sheetData>
    <row r="1" spans="1:19" s="12" customFormat="1" x14ac:dyDescent="0.15">
      <c r="B1" s="12" t="s">
        <v>0</v>
      </c>
      <c r="C1" s="13">
        <v>140</v>
      </c>
      <c r="G1" s="14"/>
      <c r="H1" s="13" t="s">
        <v>1</v>
      </c>
      <c r="I1" s="15" t="s">
        <v>2</v>
      </c>
      <c r="J1" s="13" t="s">
        <v>3</v>
      </c>
      <c r="K1" s="13"/>
      <c r="L1" s="12" t="s">
        <v>4</v>
      </c>
    </row>
    <row r="2" spans="1:19" ht="16" thickBot="1" x14ac:dyDescent="0.25">
      <c r="B2" s="17"/>
      <c r="G2" s="18"/>
      <c r="H2" s="17">
        <v>1</v>
      </c>
      <c r="I2" s="19">
        <f t="shared" ref="I2:I16" si="0">($E$5*H2%)+$E$5</f>
        <v>2.7997199999999998</v>
      </c>
      <c r="J2" s="19">
        <f t="shared" ref="J2:J16" si="1">I2+$E$6</f>
        <v>0.7877200000000002</v>
      </c>
      <c r="L2" s="17" t="s">
        <v>5</v>
      </c>
      <c r="M2" s="17" t="s">
        <v>6</v>
      </c>
      <c r="P2" s="20"/>
    </row>
    <row r="3" spans="1:19" ht="20" thickBot="1" x14ac:dyDescent="0.3">
      <c r="A3" s="16" t="s">
        <v>7</v>
      </c>
      <c r="B3" s="61">
        <v>660</v>
      </c>
      <c r="D3" s="16" t="s">
        <v>8</v>
      </c>
      <c r="E3" s="17" t="s">
        <v>9</v>
      </c>
      <c r="F3" s="17"/>
      <c r="G3" s="17" t="s">
        <v>10</v>
      </c>
      <c r="H3" s="17">
        <v>2</v>
      </c>
      <c r="I3" s="19">
        <f t="shared" si="0"/>
        <v>2.8274399999999997</v>
      </c>
      <c r="J3" s="19">
        <f t="shared" si="1"/>
        <v>0.81544000000000016</v>
      </c>
      <c r="K3" s="17" t="s">
        <v>11</v>
      </c>
      <c r="L3" s="17">
        <v>200</v>
      </c>
      <c r="M3" s="21">
        <f>L3/2.54</f>
        <v>78.740157480314963</v>
      </c>
      <c r="N3" s="17" t="s">
        <v>12</v>
      </c>
      <c r="P3" s="20"/>
    </row>
    <row r="4" spans="1:19" x14ac:dyDescent="0.2">
      <c r="A4" s="16" t="s">
        <v>13</v>
      </c>
      <c r="B4" s="22">
        <v>0.36</v>
      </c>
      <c r="G4" s="23"/>
      <c r="H4" s="17">
        <v>3</v>
      </c>
      <c r="I4" s="19">
        <f t="shared" si="0"/>
        <v>2.8551599999999997</v>
      </c>
      <c r="J4" s="19">
        <f t="shared" si="1"/>
        <v>0.84316000000000013</v>
      </c>
      <c r="L4" s="17"/>
      <c r="M4" s="17"/>
      <c r="N4" s="17"/>
      <c r="P4" s="20"/>
    </row>
    <row r="5" spans="1:19" x14ac:dyDescent="0.2">
      <c r="A5" s="16" t="s">
        <v>14</v>
      </c>
      <c r="B5" s="24"/>
      <c r="E5" s="20">
        <f>(C1*B4/12000)*B3</f>
        <v>2.7719999999999998</v>
      </c>
      <c r="F5" s="16" t="s">
        <v>15</v>
      </c>
      <c r="G5" s="25">
        <f>B7*E5+(B3^2)</f>
        <v>451206</v>
      </c>
      <c r="H5" s="17">
        <v>4</v>
      </c>
      <c r="I5" s="19">
        <f t="shared" si="0"/>
        <v>2.8828799999999997</v>
      </c>
      <c r="J5" s="19">
        <f t="shared" si="1"/>
        <v>0.8708800000000001</v>
      </c>
      <c r="L5" s="17" t="s">
        <v>6</v>
      </c>
      <c r="M5" s="17" t="s">
        <v>5</v>
      </c>
      <c r="N5" s="17"/>
      <c r="P5" s="20"/>
    </row>
    <row r="6" spans="1:19" x14ac:dyDescent="0.2">
      <c r="B6" s="17"/>
      <c r="D6" s="16" t="s">
        <v>16</v>
      </c>
      <c r="E6" s="20">
        <f>E7-E5</f>
        <v>-2.0119999999999996</v>
      </c>
      <c r="F6" s="26" t="s">
        <v>17</v>
      </c>
      <c r="H6" s="17">
        <v>5</v>
      </c>
      <c r="I6" s="19">
        <f t="shared" si="0"/>
        <v>2.9105999999999996</v>
      </c>
      <c r="J6" s="19">
        <f t="shared" si="1"/>
        <v>0.89860000000000007</v>
      </c>
      <c r="K6" s="17" t="s">
        <v>18</v>
      </c>
      <c r="L6" s="17">
        <v>0.185</v>
      </c>
      <c r="M6" s="21">
        <f>L6*2.54</f>
        <v>0.46989999999999998</v>
      </c>
      <c r="N6" s="17" t="s">
        <v>11</v>
      </c>
      <c r="P6" s="20"/>
    </row>
    <row r="7" spans="1:19" x14ac:dyDescent="0.2">
      <c r="A7" s="16" t="s">
        <v>19</v>
      </c>
      <c r="B7" s="27">
        <f>(43350/C1)*12000/B3</f>
        <v>5629.8701298701299</v>
      </c>
      <c r="D7" s="16" t="s">
        <v>20</v>
      </c>
      <c r="E7" s="20">
        <v>0.76</v>
      </c>
      <c r="F7" s="28" t="s">
        <v>21</v>
      </c>
      <c r="G7" s="25">
        <f>E7*B7</f>
        <v>4278.7012987012986</v>
      </c>
      <c r="H7" s="17">
        <v>6</v>
      </c>
      <c r="I7" s="19">
        <f t="shared" si="0"/>
        <v>2.9383199999999996</v>
      </c>
      <c r="J7" s="19">
        <f t="shared" si="1"/>
        <v>0.92632000000000003</v>
      </c>
      <c r="P7" s="20"/>
    </row>
    <row r="8" spans="1:19" x14ac:dyDescent="0.2">
      <c r="A8" s="16" t="s">
        <v>22</v>
      </c>
      <c r="B8" s="29">
        <v>17</v>
      </c>
      <c r="D8" s="17" t="s">
        <v>23</v>
      </c>
      <c r="E8" s="16" t="s">
        <v>24</v>
      </c>
      <c r="F8" s="30">
        <v>74426</v>
      </c>
      <c r="H8" s="17">
        <v>7</v>
      </c>
      <c r="I8" s="19">
        <f t="shared" si="0"/>
        <v>2.96604</v>
      </c>
      <c r="J8" s="19">
        <f t="shared" si="1"/>
        <v>0.95404000000000044</v>
      </c>
      <c r="L8" s="16" t="s">
        <v>25</v>
      </c>
    </row>
    <row r="9" spans="1:19" x14ac:dyDescent="0.2">
      <c r="B9" s="17"/>
      <c r="D9" s="17" t="s">
        <v>26</v>
      </c>
      <c r="E9" s="16" t="s">
        <v>27</v>
      </c>
      <c r="F9" s="31">
        <f>F8/B7</f>
        <v>13.219843137254902</v>
      </c>
      <c r="H9" s="17">
        <v>8</v>
      </c>
      <c r="I9" s="19">
        <f t="shared" si="0"/>
        <v>2.99376</v>
      </c>
      <c r="J9" s="19">
        <f t="shared" si="1"/>
        <v>0.98176000000000041</v>
      </c>
      <c r="K9" s="17" t="s">
        <v>28</v>
      </c>
      <c r="L9" s="32">
        <f>E5</f>
        <v>2.7719999999999998</v>
      </c>
      <c r="M9" s="16" t="s">
        <v>29</v>
      </c>
      <c r="S9" s="33"/>
    </row>
    <row r="10" spans="1:19" x14ac:dyDescent="0.2">
      <c r="A10" s="16" t="s">
        <v>30</v>
      </c>
      <c r="B10" s="34">
        <f>B7/B8</f>
        <v>331.16883116883116</v>
      </c>
      <c r="C10" s="29"/>
      <c r="D10" s="29" t="s">
        <v>31</v>
      </c>
      <c r="E10" s="16" t="s">
        <v>27</v>
      </c>
      <c r="F10" s="35">
        <f>CEILING(F9,1)</f>
        <v>14</v>
      </c>
      <c r="H10" s="17">
        <v>9</v>
      </c>
      <c r="I10" s="19">
        <f t="shared" si="0"/>
        <v>3.0214799999999999</v>
      </c>
      <c r="J10" s="19">
        <f t="shared" si="1"/>
        <v>1.0094800000000004</v>
      </c>
      <c r="K10" s="17" t="s">
        <v>32</v>
      </c>
      <c r="L10" s="36">
        <f>F8</f>
        <v>74426</v>
      </c>
      <c r="M10" s="16" t="s">
        <v>33</v>
      </c>
      <c r="S10" s="33"/>
    </row>
    <row r="11" spans="1:19" x14ac:dyDescent="0.2">
      <c r="A11" s="16" t="s">
        <v>22</v>
      </c>
      <c r="B11" s="29">
        <v>18</v>
      </c>
      <c r="C11" s="23"/>
      <c r="D11" s="37" t="s">
        <v>34</v>
      </c>
      <c r="G11" s="36"/>
      <c r="H11" s="17">
        <v>10</v>
      </c>
      <c r="I11" s="19">
        <f t="shared" si="0"/>
        <v>3.0491999999999999</v>
      </c>
      <c r="J11" s="19">
        <f t="shared" si="1"/>
        <v>1.0372000000000003</v>
      </c>
      <c r="K11" s="17" t="s">
        <v>35</v>
      </c>
      <c r="L11" s="20">
        <f>L9*L10</f>
        <v>206308.87199999997</v>
      </c>
      <c r="M11" s="16" t="s">
        <v>36</v>
      </c>
      <c r="S11" s="33"/>
    </row>
    <row r="12" spans="1:19" ht="16" thickBot="1" x14ac:dyDescent="0.25">
      <c r="B12" s="17"/>
      <c r="C12" s="30"/>
      <c r="D12" s="37" t="s">
        <v>37</v>
      </c>
      <c r="E12" s="23" t="s">
        <v>38</v>
      </c>
      <c r="H12" s="17">
        <v>11</v>
      </c>
      <c r="I12" s="19">
        <f t="shared" si="0"/>
        <v>3.0769199999999999</v>
      </c>
      <c r="J12" s="19">
        <f t="shared" si="1"/>
        <v>1.0649200000000003</v>
      </c>
      <c r="K12" s="17" t="s">
        <v>35</v>
      </c>
      <c r="L12" s="32">
        <f>E7*L10</f>
        <v>56563.76</v>
      </c>
      <c r="M12" s="16" t="s">
        <v>39</v>
      </c>
      <c r="S12" s="33"/>
    </row>
    <row r="13" spans="1:19" ht="20" thickBot="1" x14ac:dyDescent="0.3">
      <c r="A13" s="16" t="s">
        <v>30</v>
      </c>
      <c r="B13" s="38">
        <f>B7/B11</f>
        <v>312.77056277056278</v>
      </c>
      <c r="D13" s="62">
        <f>($B$7*$B$3)/12000*$C$1+AVERAGE(B16,B22,B28,B33)*0.05</f>
        <v>43358.125</v>
      </c>
      <c r="E13" s="39">
        <f>D13+(B8*60)</f>
        <v>44378.125</v>
      </c>
      <c r="F13" s="36">
        <v>171366.18181818182</v>
      </c>
      <c r="H13" s="17">
        <v>12</v>
      </c>
      <c r="I13" s="19">
        <f t="shared" si="0"/>
        <v>3.1046399999999998</v>
      </c>
      <c r="J13" s="19">
        <f t="shared" si="1"/>
        <v>1.0926400000000003</v>
      </c>
      <c r="S13" s="33"/>
    </row>
    <row r="14" spans="1:19" x14ac:dyDescent="0.2">
      <c r="A14" s="16" t="s">
        <v>40</v>
      </c>
      <c r="B14" s="40"/>
      <c r="H14" s="17">
        <v>13</v>
      </c>
      <c r="I14" s="19">
        <f t="shared" si="0"/>
        <v>3.1323599999999998</v>
      </c>
      <c r="J14" s="19">
        <f t="shared" si="1"/>
        <v>1.1203600000000002</v>
      </c>
      <c r="S14" s="33"/>
    </row>
    <row r="15" spans="1:19" x14ac:dyDescent="0.2">
      <c r="A15" s="41" t="s">
        <v>41</v>
      </c>
      <c r="D15" s="41" t="s">
        <v>42</v>
      </c>
      <c r="H15" s="17">
        <v>14</v>
      </c>
      <c r="I15" s="19">
        <f t="shared" si="0"/>
        <v>3.1600799999999998</v>
      </c>
      <c r="J15" s="19">
        <f t="shared" si="1"/>
        <v>1.1480800000000002</v>
      </c>
    </row>
    <row r="16" spans="1:19" x14ac:dyDescent="0.2">
      <c r="A16" s="16" t="s">
        <v>43</v>
      </c>
      <c r="B16" s="17">
        <v>140</v>
      </c>
      <c r="D16" s="16" t="s">
        <v>43</v>
      </c>
      <c r="E16" s="17">
        <v>140</v>
      </c>
      <c r="H16" s="17">
        <v>15</v>
      </c>
      <c r="I16" s="19">
        <f t="shared" si="0"/>
        <v>3.1877999999999997</v>
      </c>
      <c r="J16" s="19">
        <f t="shared" si="1"/>
        <v>1.1758000000000002</v>
      </c>
    </row>
    <row r="17" spans="1:13" ht="16" thickBot="1" x14ac:dyDescent="0.25">
      <c r="A17" s="16" t="s">
        <v>44</v>
      </c>
      <c r="B17" s="17">
        <v>72</v>
      </c>
      <c r="D17" s="16" t="s">
        <v>44</v>
      </c>
      <c r="E17" s="17">
        <v>66</v>
      </c>
    </row>
    <row r="18" spans="1:13" ht="19" x14ac:dyDescent="0.25">
      <c r="A18" s="16" t="s">
        <v>24</v>
      </c>
      <c r="B18" s="29">
        <v>12144</v>
      </c>
      <c r="D18" s="16" t="s">
        <v>24</v>
      </c>
      <c r="E18" s="29">
        <v>43056</v>
      </c>
      <c r="J18" s="63" t="s">
        <v>45</v>
      </c>
      <c r="K18" s="64"/>
      <c r="L18" s="64"/>
      <c r="M18" s="65"/>
    </row>
    <row r="19" spans="1:13" x14ac:dyDescent="0.2">
      <c r="A19" s="16" t="s">
        <v>46</v>
      </c>
      <c r="B19" s="38">
        <f>(B17*B18/12000)*B16</f>
        <v>10200.960000000001</v>
      </c>
      <c r="C19" s="16" t="s">
        <v>47</v>
      </c>
      <c r="D19" s="16" t="s">
        <v>46</v>
      </c>
      <c r="E19" s="38">
        <f>(E17*E18/12000)*E16</f>
        <v>33153.119999999995</v>
      </c>
      <c r="F19" s="16" t="s">
        <v>47</v>
      </c>
      <c r="G19" s="36">
        <f>B19+E19</f>
        <v>43354.079999999994</v>
      </c>
      <c r="H19" s="17" t="s">
        <v>48</v>
      </c>
      <c r="J19" s="43" t="s">
        <v>49</v>
      </c>
      <c r="L19" s="44">
        <f>D13/B7</f>
        <v>7.7014431949250293</v>
      </c>
      <c r="M19" s="45" t="s">
        <v>47</v>
      </c>
    </row>
    <row r="20" spans="1:13" x14ac:dyDescent="0.2">
      <c r="B20" s="38"/>
      <c r="J20" s="43" t="s">
        <v>50</v>
      </c>
      <c r="L20" s="44">
        <f>L19*1000</f>
        <v>7701.4431949250293</v>
      </c>
      <c r="M20" s="45" t="s">
        <v>47</v>
      </c>
    </row>
    <row r="21" spans="1:13" x14ac:dyDescent="0.2">
      <c r="A21" s="41" t="s">
        <v>51</v>
      </c>
      <c r="D21" s="41" t="s">
        <v>52</v>
      </c>
      <c r="J21" s="43"/>
      <c r="L21" s="23"/>
      <c r="M21" s="45"/>
    </row>
    <row r="22" spans="1:13" x14ac:dyDescent="0.2">
      <c r="A22" s="16" t="s">
        <v>43</v>
      </c>
      <c r="B22" s="17">
        <v>190</v>
      </c>
      <c r="D22" s="16" t="s">
        <v>43</v>
      </c>
      <c r="E22" s="17">
        <v>190</v>
      </c>
      <c r="J22" s="43" t="s">
        <v>53</v>
      </c>
      <c r="L22" s="30">
        <v>17</v>
      </c>
      <c r="M22" s="45" t="s">
        <v>54</v>
      </c>
    </row>
    <row r="23" spans="1:13" x14ac:dyDescent="0.2">
      <c r="A23" s="16" t="s">
        <v>44</v>
      </c>
      <c r="B23" s="17">
        <v>26.25</v>
      </c>
      <c r="D23" s="16" t="s">
        <v>44</v>
      </c>
      <c r="E23" s="17">
        <v>24.5</v>
      </c>
      <c r="J23" s="46" t="s">
        <v>55</v>
      </c>
      <c r="L23" s="47">
        <f>B7/L22</f>
        <v>331.16883116883116</v>
      </c>
      <c r="M23" s="45" t="s">
        <v>33</v>
      </c>
    </row>
    <row r="24" spans="1:13" ht="16" thickBot="1" x14ac:dyDescent="0.25">
      <c r="A24" s="16" t="s">
        <v>24</v>
      </c>
      <c r="B24" s="29">
        <v>8000</v>
      </c>
      <c r="D24" s="16" t="s">
        <v>24</v>
      </c>
      <c r="E24" s="29">
        <v>3000</v>
      </c>
      <c r="J24" s="48" t="s">
        <v>56</v>
      </c>
      <c r="K24" s="49"/>
      <c r="L24" s="50">
        <f>L23*L19</f>
        <v>2550.4779411764707</v>
      </c>
      <c r="M24" s="51" t="s">
        <v>47</v>
      </c>
    </row>
    <row r="25" spans="1:13" ht="16" thickBot="1" x14ac:dyDescent="0.25">
      <c r="A25" s="16" t="s">
        <v>46</v>
      </c>
      <c r="B25" s="38">
        <f>(B23*B24/12000)*B22</f>
        <v>3325</v>
      </c>
      <c r="C25" s="16" t="s">
        <v>47</v>
      </c>
      <c r="D25" s="16" t="s">
        <v>46</v>
      </c>
      <c r="E25" s="38">
        <f>(E23*E24/12000)*E22</f>
        <v>1163.75</v>
      </c>
      <c r="F25" s="16" t="s">
        <v>47</v>
      </c>
      <c r="G25" s="36">
        <f>B25+E25</f>
        <v>4488.75</v>
      </c>
      <c r="H25" s="17" t="s">
        <v>57</v>
      </c>
      <c r="J25" s="17"/>
    </row>
    <row r="26" spans="1:13" ht="20" thickBot="1" x14ac:dyDescent="0.3">
      <c r="F26" s="41" t="s">
        <v>58</v>
      </c>
      <c r="G26" s="52">
        <f>SUM(G19:G25)</f>
        <v>47842.829999999994</v>
      </c>
      <c r="J26" s="53" t="s">
        <v>59</v>
      </c>
      <c r="K26" s="52">
        <f>G26+G37+(0.001*F13)</f>
        <v>58107.529515151509</v>
      </c>
      <c r="L26" s="62">
        <f>MAX(L11,K26)</f>
        <v>206308.87199999997</v>
      </c>
    </row>
    <row r="27" spans="1:13" x14ac:dyDescent="0.2">
      <c r="A27" s="41" t="s">
        <v>60</v>
      </c>
      <c r="D27" s="41" t="s">
        <v>61</v>
      </c>
    </row>
    <row r="28" spans="1:13" x14ac:dyDescent="0.2">
      <c r="A28" s="16" t="s">
        <v>43</v>
      </c>
      <c r="B28" s="17">
        <v>160</v>
      </c>
      <c r="D28" s="16" t="s">
        <v>43</v>
      </c>
      <c r="E28" s="17">
        <v>160</v>
      </c>
    </row>
    <row r="29" spans="1:13" x14ac:dyDescent="0.2">
      <c r="A29" s="16" t="s">
        <v>44</v>
      </c>
      <c r="B29" s="17">
        <v>21.25</v>
      </c>
      <c r="D29" s="16" t="s">
        <v>44</v>
      </c>
      <c r="E29" s="17">
        <v>27.75</v>
      </c>
    </row>
    <row r="30" spans="1:13" x14ac:dyDescent="0.2">
      <c r="A30" s="16" t="s">
        <v>24</v>
      </c>
      <c r="B30" s="29">
        <v>4000</v>
      </c>
      <c r="D30" s="16" t="s">
        <v>24</v>
      </c>
      <c r="E30" s="29">
        <v>14000</v>
      </c>
    </row>
    <row r="31" spans="1:13" x14ac:dyDescent="0.2">
      <c r="A31" s="16" t="s">
        <v>46</v>
      </c>
      <c r="B31" s="38">
        <f>(B29*B30/12000)*B28</f>
        <v>1133.3333333333333</v>
      </c>
      <c r="C31" s="16" t="s">
        <v>47</v>
      </c>
      <c r="D31" s="16" t="s">
        <v>46</v>
      </c>
      <c r="E31" s="38">
        <f>(E29*E30/12000)*E28</f>
        <v>5180</v>
      </c>
      <c r="F31" s="16" t="s">
        <v>47</v>
      </c>
      <c r="G31" s="36">
        <f>B31+E31</f>
        <v>6313.333333333333</v>
      </c>
      <c r="H31" s="17" t="s">
        <v>62</v>
      </c>
      <c r="K31" s="16"/>
    </row>
    <row r="32" spans="1:13" x14ac:dyDescent="0.2">
      <c r="A32" s="41" t="s">
        <v>63</v>
      </c>
      <c r="D32" s="41" t="s">
        <v>64</v>
      </c>
    </row>
    <row r="33" spans="1:11" x14ac:dyDescent="0.2">
      <c r="A33" s="16" t="s">
        <v>43</v>
      </c>
      <c r="B33" s="17">
        <v>160</v>
      </c>
      <c r="D33" s="16" t="s">
        <v>43</v>
      </c>
      <c r="E33" s="17">
        <v>160</v>
      </c>
      <c r="I33" s="16"/>
      <c r="K33" s="16"/>
    </row>
    <row r="34" spans="1:11" x14ac:dyDescent="0.2">
      <c r="A34" s="16" t="s">
        <v>44</v>
      </c>
      <c r="B34" s="17">
        <v>26.25</v>
      </c>
      <c r="D34" s="16" t="s">
        <v>44</v>
      </c>
      <c r="E34" s="17">
        <v>24.5</v>
      </c>
      <c r="I34" s="16"/>
      <c r="K34" s="16"/>
    </row>
    <row r="35" spans="1:11" x14ac:dyDescent="0.2">
      <c r="A35" s="16" t="s">
        <v>24</v>
      </c>
      <c r="B35" s="29">
        <v>8000</v>
      </c>
      <c r="D35" s="16" t="s">
        <v>24</v>
      </c>
      <c r="E35" s="29">
        <v>3000</v>
      </c>
      <c r="I35" s="16"/>
      <c r="K35" s="16"/>
    </row>
    <row r="36" spans="1:11" x14ac:dyDescent="0.2">
      <c r="A36" s="16" t="s">
        <v>46</v>
      </c>
      <c r="B36" s="38">
        <f>(B34*B35/12000)*B33</f>
        <v>2800</v>
      </c>
      <c r="C36" s="16" t="s">
        <v>47</v>
      </c>
      <c r="D36" s="16" t="s">
        <v>46</v>
      </c>
      <c r="E36" s="38">
        <f>(E34*E35/12000)*E33</f>
        <v>980</v>
      </c>
      <c r="F36" s="16" t="s">
        <v>47</v>
      </c>
      <c r="G36" s="36">
        <f>B36+E36</f>
        <v>3780</v>
      </c>
      <c r="H36" s="17" t="s">
        <v>65</v>
      </c>
      <c r="I36" s="16"/>
      <c r="K36" s="16"/>
    </row>
    <row r="37" spans="1:11" x14ac:dyDescent="0.2">
      <c r="F37" s="41" t="s">
        <v>58</v>
      </c>
      <c r="G37" s="52">
        <f>SUM(G31:G36)</f>
        <v>10093.333333333332</v>
      </c>
      <c r="I37" s="16"/>
      <c r="K37" s="16"/>
    </row>
    <row r="39" spans="1:11" x14ac:dyDescent="0.2">
      <c r="D39" s="1"/>
      <c r="E39" s="1"/>
      <c r="F39" s="1"/>
    </row>
    <row r="40" spans="1:11" x14ac:dyDescent="0.2">
      <c r="I40" s="16"/>
      <c r="K40" s="16"/>
    </row>
    <row r="41" spans="1:11" x14ac:dyDescent="0.2">
      <c r="I41" s="16"/>
      <c r="K41" s="16"/>
    </row>
    <row r="42" spans="1:11" x14ac:dyDescent="0.2">
      <c r="I42" s="16"/>
      <c r="K42" s="16"/>
    </row>
    <row r="43" spans="1:11" x14ac:dyDescent="0.2">
      <c r="I43" s="16"/>
      <c r="K43" s="16"/>
    </row>
    <row r="44" spans="1:11" x14ac:dyDescent="0.2">
      <c r="I44" s="16"/>
      <c r="K44" s="16"/>
    </row>
    <row r="45" spans="1:11" x14ac:dyDescent="0.2">
      <c r="I45" s="16"/>
      <c r="K45" s="16"/>
    </row>
    <row r="46" spans="1:11" x14ac:dyDescent="0.2">
      <c r="E46" s="41"/>
      <c r="F46" s="54"/>
      <c r="I46" s="16"/>
      <c r="K46" s="16"/>
    </row>
    <row r="47" spans="1:11" x14ac:dyDescent="0.2">
      <c r="E47" s="41"/>
      <c r="F47" s="55"/>
      <c r="I47" s="16"/>
      <c r="K47" s="16"/>
    </row>
    <row r="48" spans="1:11" x14ac:dyDescent="0.2">
      <c r="E48" s="41"/>
      <c r="F48" s="55"/>
      <c r="I48" s="16"/>
      <c r="K48" s="16"/>
    </row>
    <row r="49" spans="5:11" x14ac:dyDescent="0.2">
      <c r="E49" s="41"/>
      <c r="F49" s="56"/>
      <c r="I49" s="16"/>
      <c r="K49" s="16"/>
    </row>
    <row r="50" spans="5:11" x14ac:dyDescent="0.2">
      <c r="E50" s="41"/>
      <c r="I50" s="16"/>
      <c r="K50" s="16"/>
    </row>
    <row r="51" spans="5:11" x14ac:dyDescent="0.2">
      <c r="E51" s="41"/>
      <c r="I51" s="16"/>
      <c r="K51" s="16"/>
    </row>
    <row r="52" spans="5:11" x14ac:dyDescent="0.2">
      <c r="E52" s="41"/>
      <c r="I52" s="16"/>
      <c r="K52" s="16"/>
    </row>
    <row r="53" spans="5:11" x14ac:dyDescent="0.2">
      <c r="E53" s="41"/>
      <c r="I53" s="16"/>
      <c r="K53" s="16"/>
    </row>
    <row r="54" spans="5:11" x14ac:dyDescent="0.2">
      <c r="E54" s="41"/>
      <c r="F54" s="57"/>
      <c r="I54" s="16"/>
      <c r="K54" s="16"/>
    </row>
    <row r="55" spans="5:11" x14ac:dyDescent="0.2">
      <c r="E55" s="41"/>
      <c r="F55" s="55"/>
      <c r="I55" s="16"/>
      <c r="K55" s="16"/>
    </row>
    <row r="56" spans="5:11" x14ac:dyDescent="0.2">
      <c r="E56" s="41"/>
      <c r="F56" s="56"/>
      <c r="I56" s="16"/>
      <c r="K56" s="16"/>
    </row>
    <row r="57" spans="5:11" x14ac:dyDescent="0.2">
      <c r="E57" s="41"/>
      <c r="F57" s="41"/>
      <c r="I57" s="16"/>
      <c r="K57" s="16"/>
    </row>
    <row r="58" spans="5:11" x14ac:dyDescent="0.2">
      <c r="E58" s="41"/>
      <c r="F58" s="58"/>
      <c r="I58" s="16"/>
      <c r="K58" s="16"/>
    </row>
    <row r="59" spans="5:11" x14ac:dyDescent="0.2">
      <c r="E59" s="41"/>
      <c r="F59" s="58"/>
      <c r="I59" s="16"/>
      <c r="K59" s="16"/>
    </row>
    <row r="60" spans="5:11" x14ac:dyDescent="0.2">
      <c r="E60" s="41"/>
      <c r="F60" s="58"/>
      <c r="I60" s="16"/>
      <c r="K60" s="16"/>
    </row>
  </sheetData>
  <mergeCells count="1">
    <mergeCell ref="J18:M18"/>
  </mergeCells>
  <printOptions headings="1" gridLines="1"/>
  <pageMargins left="0.25" right="0.25" top="0.5" bottom="0.5" header="0.5" footer="0.5"/>
  <pageSetup scale="85" orientation="landscape" horizontalDpi="360" verticalDpi="300" r:id="rId1"/>
  <headerFooter alignWithMargins="0"/>
  <extLst>
    <ext xmlns:x15="http://schemas.microsoft.com/office/spreadsheetml/2010/11/main" uri="{F7C9EE02-42E1-4005-9D12-6889AFFD525C}">
      <x15:webExtensions xmlns:xm="http://schemas.microsoft.com/office/excel/2006/main">
        <x15:webExtension appRef="{8B71290B-A1A5-477C-8E64-19526ED00BAD}">
          <xm:f>'Find Formula'!1:1048576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73FA2-D6C3-4A4A-A8A7-99D585287AD5}">
  <sheetPr>
    <tabColor theme="9" tint="-0.249977111117893"/>
    <pageSetUpPr autoPageBreaks="0"/>
  </sheetPr>
  <dimension ref="A1:R736"/>
  <sheetViews>
    <sheetView tabSelected="1" zoomScale="96" zoomScaleNormal="96" zoomScaleSheetLayoutView="100" zoomScalePageLayoutView="115" workbookViewId="0">
      <selection activeCell="F2" sqref="F2"/>
    </sheetView>
  </sheetViews>
  <sheetFormatPr baseColWidth="10" defaultColWidth="19.6640625" defaultRowHeight="14" x14ac:dyDescent="0.15"/>
  <cols>
    <col min="1" max="1" width="10.6640625" bestFit="1" customWidth="1"/>
    <col min="2" max="2" width="11.1640625" style="1" customWidth="1"/>
    <col min="3" max="3" width="7.6640625" customWidth="1"/>
    <col min="4" max="4" width="24.5" style="1" customWidth="1"/>
    <col min="5" max="5" width="13.83203125" style="1" customWidth="1"/>
    <col min="6" max="18" width="24.1640625" style="1" customWidth="1"/>
    <col min="19" max="19" width="26.6640625" style="1" customWidth="1"/>
    <col min="20" max="16384" width="19.6640625" style="1"/>
  </cols>
  <sheetData>
    <row r="1" spans="1:18" x14ac:dyDescent="0.15">
      <c r="A1" s="8" t="s">
        <v>165</v>
      </c>
      <c r="B1" s="9" t="s">
        <v>166</v>
      </c>
      <c r="D1" s="7" t="s">
        <v>66</v>
      </c>
      <c r="E1" s="7" t="s">
        <v>167</v>
      </c>
      <c r="F1" s="7" t="s">
        <v>168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8" ht="18" x14ac:dyDescent="0.2">
      <c r="A2" s="2" t="s">
        <v>169</v>
      </c>
      <c r="B2" s="3">
        <v>99</v>
      </c>
      <c r="D2" s="1" t="s">
        <v>170</v>
      </c>
      <c r="E2" s="1" t="s">
        <v>171</v>
      </c>
      <c r="F2" s="60"/>
      <c r="I2" s="1" t="s">
        <v>284</v>
      </c>
    </row>
    <row r="3" spans="1:18" ht="18" x14ac:dyDescent="0.2">
      <c r="A3" s="2" t="s">
        <v>172</v>
      </c>
      <c r="B3" s="3">
        <v>92</v>
      </c>
      <c r="D3" s="1" t="s">
        <v>124</v>
      </c>
      <c r="E3" s="1" t="s">
        <v>172</v>
      </c>
      <c r="F3" s="60"/>
      <c r="I3" s="1" t="s">
        <v>285</v>
      </c>
    </row>
    <row r="4" spans="1:18" ht="18" x14ac:dyDescent="0.2">
      <c r="A4" s="2" t="s">
        <v>173</v>
      </c>
      <c r="B4" s="3">
        <v>85</v>
      </c>
      <c r="D4" s="1" t="s">
        <v>174</v>
      </c>
      <c r="E4" s="1" t="s">
        <v>175</v>
      </c>
      <c r="F4" s="60"/>
    </row>
    <row r="5" spans="1:18" ht="18" x14ac:dyDescent="0.2">
      <c r="A5" s="2" t="s">
        <v>175</v>
      </c>
      <c r="B5" s="3">
        <v>78</v>
      </c>
      <c r="D5" s="1" t="s">
        <v>128</v>
      </c>
      <c r="E5" s="1" t="s">
        <v>173</v>
      </c>
      <c r="F5" s="60"/>
    </row>
    <row r="6" spans="1:18" ht="18" x14ac:dyDescent="0.2">
      <c r="A6" s="2" t="s">
        <v>171</v>
      </c>
      <c r="B6" s="3">
        <v>71</v>
      </c>
      <c r="D6" s="1" t="s">
        <v>176</v>
      </c>
      <c r="E6" s="1" t="s">
        <v>177</v>
      </c>
      <c r="F6" s="60"/>
    </row>
    <row r="7" spans="1:18" ht="18" x14ac:dyDescent="0.2">
      <c r="A7" s="2" t="s">
        <v>178</v>
      </c>
      <c r="B7" s="3">
        <v>65</v>
      </c>
      <c r="D7" s="1" t="s">
        <v>179</v>
      </c>
      <c r="E7" s="1" t="s">
        <v>169</v>
      </c>
      <c r="F7" s="60"/>
    </row>
    <row r="8" spans="1:18" ht="18" x14ac:dyDescent="0.2">
      <c r="A8" s="4" t="s">
        <v>180</v>
      </c>
      <c r="B8" s="5">
        <v>50</v>
      </c>
      <c r="D8" s="1" t="s">
        <v>181</v>
      </c>
      <c r="E8" s="1" t="s">
        <v>173</v>
      </c>
      <c r="F8" s="60"/>
    </row>
    <row r="9" spans="1:18" ht="18" x14ac:dyDescent="0.2">
      <c r="D9" s="1" t="s">
        <v>182</v>
      </c>
      <c r="E9" s="1" t="s">
        <v>172</v>
      </c>
      <c r="F9" s="60"/>
    </row>
    <row r="10" spans="1:18" ht="18" x14ac:dyDescent="0.2">
      <c r="D10" s="1" t="s">
        <v>183</v>
      </c>
      <c r="E10" s="1" t="s">
        <v>178</v>
      </c>
      <c r="F10" s="60"/>
    </row>
    <row r="11" spans="1:18" ht="18" x14ac:dyDescent="0.2">
      <c r="D11" s="1" t="s">
        <v>184</v>
      </c>
      <c r="E11" s="1" t="s">
        <v>172</v>
      </c>
      <c r="F11" s="60"/>
    </row>
    <row r="12" spans="1:18" ht="18" x14ac:dyDescent="0.2">
      <c r="D12" s="1" t="s">
        <v>185</v>
      </c>
      <c r="E12" s="1" t="s">
        <v>172</v>
      </c>
      <c r="F12" s="60"/>
    </row>
    <row r="13" spans="1:18" ht="18" x14ac:dyDescent="0.2">
      <c r="D13" s="1" t="s">
        <v>186</v>
      </c>
      <c r="E13" s="1" t="s">
        <v>175</v>
      </c>
      <c r="F13" s="60"/>
    </row>
    <row r="14" spans="1:18" ht="18" x14ac:dyDescent="0.2">
      <c r="D14" s="1" t="s">
        <v>187</v>
      </c>
      <c r="E14" s="1" t="s">
        <v>180</v>
      </c>
      <c r="F14" s="60"/>
    </row>
    <row r="15" spans="1:18" ht="18" x14ac:dyDescent="0.2">
      <c r="D15" s="1" t="s">
        <v>188</v>
      </c>
      <c r="E15" s="1" t="s">
        <v>175</v>
      </c>
      <c r="F15" s="60"/>
    </row>
    <row r="16" spans="1:18" ht="18" x14ac:dyDescent="0.2">
      <c r="D16" s="1" t="s">
        <v>189</v>
      </c>
      <c r="E16" s="1" t="s">
        <v>178</v>
      </c>
      <c r="F16" s="60"/>
    </row>
    <row r="17" spans="4:6" ht="18" x14ac:dyDescent="0.2">
      <c r="D17" s="1" t="s">
        <v>190</v>
      </c>
      <c r="E17" s="1" t="s">
        <v>169</v>
      </c>
      <c r="F17" s="60"/>
    </row>
    <row r="18" spans="4:6" ht="18" x14ac:dyDescent="0.2">
      <c r="D18" s="1" t="s">
        <v>191</v>
      </c>
      <c r="E18" s="1" t="s">
        <v>180</v>
      </c>
      <c r="F18" s="60"/>
    </row>
    <row r="19" spans="4:6" ht="18" x14ac:dyDescent="0.2">
      <c r="D19" s="1" t="s">
        <v>192</v>
      </c>
      <c r="E19" s="1" t="s">
        <v>175</v>
      </c>
      <c r="F19" s="60"/>
    </row>
    <row r="20" spans="4:6" ht="18" x14ac:dyDescent="0.2">
      <c r="D20" s="1" t="s">
        <v>123</v>
      </c>
      <c r="E20" s="1" t="s">
        <v>172</v>
      </c>
      <c r="F20" s="60"/>
    </row>
    <row r="21" spans="4:6" ht="18" x14ac:dyDescent="0.2">
      <c r="D21" s="1" t="s">
        <v>125</v>
      </c>
      <c r="E21" s="1" t="s">
        <v>171</v>
      </c>
      <c r="F21" s="60"/>
    </row>
    <row r="22" spans="4:6" ht="18" x14ac:dyDescent="0.2">
      <c r="D22" s="1" t="s">
        <v>193</v>
      </c>
      <c r="E22" s="1" t="s">
        <v>175</v>
      </c>
      <c r="F22" s="60"/>
    </row>
    <row r="23" spans="4:6" ht="18" x14ac:dyDescent="0.2">
      <c r="D23" s="1" t="s">
        <v>194</v>
      </c>
      <c r="E23" s="1" t="s">
        <v>173</v>
      </c>
      <c r="F23" s="60"/>
    </row>
    <row r="24" spans="4:6" ht="18" x14ac:dyDescent="0.2">
      <c r="D24" s="1" t="s">
        <v>195</v>
      </c>
      <c r="E24" s="1" t="s">
        <v>171</v>
      </c>
      <c r="F24" s="60"/>
    </row>
    <row r="25" spans="4:6" ht="18" x14ac:dyDescent="0.2">
      <c r="D25" s="1" t="s">
        <v>196</v>
      </c>
      <c r="E25" s="1" t="s">
        <v>173</v>
      </c>
      <c r="F25" s="60"/>
    </row>
    <row r="26" spans="4:6" ht="18" x14ac:dyDescent="0.2">
      <c r="D26" s="1" t="s">
        <v>197</v>
      </c>
      <c r="E26" s="1" t="s">
        <v>175</v>
      </c>
      <c r="F26" s="60"/>
    </row>
    <row r="27" spans="4:6" ht="18" x14ac:dyDescent="0.2">
      <c r="D27" s="1" t="s">
        <v>121</v>
      </c>
      <c r="E27" s="1" t="s">
        <v>172</v>
      </c>
      <c r="F27" s="60"/>
    </row>
    <row r="28" spans="4:6" ht="18" x14ac:dyDescent="0.2">
      <c r="D28" s="1" t="s">
        <v>198</v>
      </c>
      <c r="E28" s="1" t="s">
        <v>175</v>
      </c>
      <c r="F28" s="60"/>
    </row>
    <row r="29" spans="4:6" ht="18" x14ac:dyDescent="0.2">
      <c r="D29" s="1" t="s">
        <v>199</v>
      </c>
      <c r="E29" s="1" t="s">
        <v>180</v>
      </c>
      <c r="F29" s="60"/>
    </row>
    <row r="30" spans="4:6" ht="18" x14ac:dyDescent="0.2">
      <c r="D30" s="1" t="s">
        <v>200</v>
      </c>
      <c r="E30" s="1" t="s">
        <v>171</v>
      </c>
      <c r="F30" s="60"/>
    </row>
    <row r="31" spans="4:6" ht="18" x14ac:dyDescent="0.2">
      <c r="D31" s="1" t="s">
        <v>201</v>
      </c>
      <c r="E31" s="1" t="s">
        <v>173</v>
      </c>
      <c r="F31" s="60"/>
    </row>
    <row r="32" spans="4:6" ht="18" x14ac:dyDescent="0.2">
      <c r="D32" s="1" t="s">
        <v>202</v>
      </c>
      <c r="E32" s="1" t="s">
        <v>169</v>
      </c>
      <c r="F32" s="60"/>
    </row>
    <row r="33" spans="4:6" ht="18" x14ac:dyDescent="0.2">
      <c r="D33" s="1" t="s">
        <v>122</v>
      </c>
      <c r="E33" s="1" t="s">
        <v>180</v>
      </c>
      <c r="F33" s="60"/>
    </row>
    <row r="34" spans="4:6" ht="18" x14ac:dyDescent="0.2">
      <c r="D34" s="1" t="s">
        <v>203</v>
      </c>
      <c r="E34" s="1" t="s">
        <v>175</v>
      </c>
      <c r="F34" s="60"/>
    </row>
    <row r="35" spans="4:6" ht="18" x14ac:dyDescent="0.2">
      <c r="D35" s="1" t="s">
        <v>204</v>
      </c>
      <c r="E35" s="1" t="s">
        <v>172</v>
      </c>
      <c r="F35" s="60"/>
    </row>
    <row r="36" spans="4:6" ht="18" x14ac:dyDescent="0.2">
      <c r="D36" s="1" t="s">
        <v>205</v>
      </c>
      <c r="E36" s="1" t="s">
        <v>178</v>
      </c>
      <c r="F36" s="60"/>
    </row>
    <row r="37" spans="4:6" ht="18" x14ac:dyDescent="0.2">
      <c r="D37" s="1" t="s">
        <v>206</v>
      </c>
      <c r="E37" s="1" t="s">
        <v>171</v>
      </c>
      <c r="F37" s="60"/>
    </row>
    <row r="38" spans="4:6" ht="18" x14ac:dyDescent="0.2">
      <c r="D38" s="1" t="s">
        <v>207</v>
      </c>
      <c r="E38" s="1" t="s">
        <v>175</v>
      </c>
      <c r="F38" s="60"/>
    </row>
    <row r="39" spans="4:6" ht="18" x14ac:dyDescent="0.2">
      <c r="D39" s="1" t="s">
        <v>208</v>
      </c>
      <c r="E39" s="1" t="s">
        <v>169</v>
      </c>
      <c r="F39" s="60"/>
    </row>
    <row r="40" spans="4:6" ht="18" x14ac:dyDescent="0.2">
      <c r="D40" s="1" t="s">
        <v>209</v>
      </c>
      <c r="E40" s="1" t="s">
        <v>180</v>
      </c>
      <c r="F40" s="60"/>
    </row>
    <row r="41" spans="4:6" ht="18" x14ac:dyDescent="0.2">
      <c r="D41" s="1" t="s">
        <v>210</v>
      </c>
      <c r="E41" s="1" t="s">
        <v>173</v>
      </c>
      <c r="F41" s="60"/>
    </row>
    <row r="42" spans="4:6" ht="18" x14ac:dyDescent="0.2">
      <c r="D42" s="1" t="s">
        <v>211</v>
      </c>
      <c r="E42" s="1" t="s">
        <v>178</v>
      </c>
      <c r="F42" s="60"/>
    </row>
    <row r="43" spans="4:6" ht="18" x14ac:dyDescent="0.2">
      <c r="D43" s="1" t="s">
        <v>212</v>
      </c>
      <c r="E43" s="1" t="s">
        <v>169</v>
      </c>
      <c r="F43" s="60"/>
    </row>
    <row r="44" spans="4:6" ht="18" x14ac:dyDescent="0.2">
      <c r="D44" s="1" t="s">
        <v>120</v>
      </c>
      <c r="E44" s="1" t="s">
        <v>173</v>
      </c>
      <c r="F44" s="60"/>
    </row>
    <row r="45" spans="4:6" ht="18" x14ac:dyDescent="0.2">
      <c r="D45" s="1" t="s">
        <v>213</v>
      </c>
      <c r="E45" s="1" t="s">
        <v>172</v>
      </c>
      <c r="F45" s="60"/>
    </row>
    <row r="46" spans="4:6" ht="18" x14ac:dyDescent="0.2">
      <c r="D46" s="1" t="s">
        <v>214</v>
      </c>
      <c r="E46" s="1" t="s">
        <v>171</v>
      </c>
      <c r="F46" s="60"/>
    </row>
    <row r="47" spans="4:6" ht="18" x14ac:dyDescent="0.2">
      <c r="D47" s="1" t="s">
        <v>215</v>
      </c>
      <c r="E47" s="1" t="s">
        <v>180</v>
      </c>
      <c r="F47" s="60"/>
    </row>
    <row r="48" spans="4:6" ht="18" x14ac:dyDescent="0.2">
      <c r="D48" s="59" t="s">
        <v>216</v>
      </c>
      <c r="E48" s="1" t="s">
        <v>171</v>
      </c>
      <c r="F48" s="60"/>
    </row>
    <row r="49" spans="4:6" ht="18" x14ac:dyDescent="0.2">
      <c r="D49" s="59" t="s">
        <v>217</v>
      </c>
      <c r="E49" s="1" t="s">
        <v>172</v>
      </c>
      <c r="F49" s="60"/>
    </row>
    <row r="50" spans="4:6" ht="18" x14ac:dyDescent="0.2">
      <c r="D50" s="59" t="s">
        <v>218</v>
      </c>
      <c r="E50" s="1" t="s">
        <v>175</v>
      </c>
      <c r="F50" s="60"/>
    </row>
    <row r="51" spans="4:6" ht="18" x14ac:dyDescent="0.2">
      <c r="D51" s="59" t="s">
        <v>219</v>
      </c>
      <c r="E51" s="1" t="s">
        <v>173</v>
      </c>
      <c r="F51" s="60"/>
    </row>
    <row r="52" spans="4:6" ht="18" x14ac:dyDescent="0.2">
      <c r="D52" s="59" t="s">
        <v>220</v>
      </c>
      <c r="E52" s="1" t="s">
        <v>177</v>
      </c>
      <c r="F52" s="60"/>
    </row>
    <row r="53" spans="4:6" ht="18" x14ac:dyDescent="0.2">
      <c r="D53" s="59" t="s">
        <v>221</v>
      </c>
      <c r="E53" s="1" t="s">
        <v>169</v>
      </c>
      <c r="F53" s="60"/>
    </row>
    <row r="54" spans="4:6" ht="18" x14ac:dyDescent="0.2">
      <c r="D54" s="59" t="s">
        <v>222</v>
      </c>
      <c r="E54" s="1" t="s">
        <v>173</v>
      </c>
      <c r="F54" s="60"/>
    </row>
    <row r="55" spans="4:6" ht="18" x14ac:dyDescent="0.2">
      <c r="D55" s="59" t="s">
        <v>223</v>
      </c>
      <c r="E55" s="1" t="s">
        <v>172</v>
      </c>
      <c r="F55" s="60"/>
    </row>
    <row r="56" spans="4:6" ht="18" x14ac:dyDescent="0.2">
      <c r="D56" s="59" t="s">
        <v>224</v>
      </c>
      <c r="E56" s="1" t="s">
        <v>178</v>
      </c>
      <c r="F56" s="60"/>
    </row>
    <row r="57" spans="4:6" ht="18" x14ac:dyDescent="0.2">
      <c r="D57" s="59" t="s">
        <v>225</v>
      </c>
      <c r="E57" s="1" t="s">
        <v>172</v>
      </c>
      <c r="F57" s="60"/>
    </row>
    <row r="58" spans="4:6" ht="18" x14ac:dyDescent="0.2">
      <c r="D58" s="59" t="s">
        <v>226</v>
      </c>
      <c r="E58" s="1" t="s">
        <v>172</v>
      </c>
      <c r="F58" s="60"/>
    </row>
    <row r="59" spans="4:6" ht="18" x14ac:dyDescent="0.2">
      <c r="D59" s="59" t="s">
        <v>227</v>
      </c>
      <c r="E59" s="1" t="s">
        <v>175</v>
      </c>
      <c r="F59" s="60"/>
    </row>
    <row r="60" spans="4:6" ht="18" x14ac:dyDescent="0.2">
      <c r="D60" s="59" t="s">
        <v>228</v>
      </c>
      <c r="E60" s="1" t="s">
        <v>180</v>
      </c>
      <c r="F60" s="60"/>
    </row>
    <row r="61" spans="4:6" ht="18" x14ac:dyDescent="0.2">
      <c r="D61" s="59" t="s">
        <v>229</v>
      </c>
      <c r="E61" s="1" t="s">
        <v>175</v>
      </c>
      <c r="F61" s="60"/>
    </row>
    <row r="62" spans="4:6" ht="18" x14ac:dyDescent="0.2">
      <c r="D62" s="59" t="s">
        <v>230</v>
      </c>
      <c r="E62" s="1" t="s">
        <v>178</v>
      </c>
      <c r="F62" s="60"/>
    </row>
    <row r="63" spans="4:6" ht="18" x14ac:dyDescent="0.2">
      <c r="D63" s="59" t="s">
        <v>231</v>
      </c>
      <c r="E63" s="1" t="s">
        <v>169</v>
      </c>
      <c r="F63" s="60"/>
    </row>
    <row r="64" spans="4:6" ht="18" x14ac:dyDescent="0.2">
      <c r="D64" s="59" t="s">
        <v>232</v>
      </c>
      <c r="E64" s="1" t="s">
        <v>180</v>
      </c>
      <c r="F64" s="60"/>
    </row>
    <row r="65" spans="4:6" ht="18" x14ac:dyDescent="0.2">
      <c r="D65" s="59" t="s">
        <v>233</v>
      </c>
      <c r="E65" s="1" t="s">
        <v>175</v>
      </c>
      <c r="F65" s="60"/>
    </row>
    <row r="66" spans="4:6" ht="18" x14ac:dyDescent="0.2">
      <c r="D66" s="59" t="s">
        <v>234</v>
      </c>
      <c r="E66" s="1" t="s">
        <v>172</v>
      </c>
      <c r="F66" s="60"/>
    </row>
    <row r="67" spans="4:6" ht="18" x14ac:dyDescent="0.2">
      <c r="D67" s="59" t="s">
        <v>235</v>
      </c>
      <c r="E67" s="1" t="s">
        <v>171</v>
      </c>
      <c r="F67" s="60"/>
    </row>
    <row r="68" spans="4:6" ht="18" x14ac:dyDescent="0.2">
      <c r="D68" s="59" t="s">
        <v>236</v>
      </c>
      <c r="E68" s="1" t="s">
        <v>175</v>
      </c>
      <c r="F68" s="60"/>
    </row>
    <row r="69" spans="4:6" ht="18" x14ac:dyDescent="0.2">
      <c r="D69" s="59" t="s">
        <v>237</v>
      </c>
      <c r="E69" s="1" t="s">
        <v>173</v>
      </c>
      <c r="F69" s="60"/>
    </row>
    <row r="70" spans="4:6" ht="18" x14ac:dyDescent="0.2">
      <c r="D70" s="59" t="s">
        <v>238</v>
      </c>
      <c r="E70" s="1" t="s">
        <v>171</v>
      </c>
      <c r="F70" s="60"/>
    </row>
    <row r="71" spans="4:6" ht="18" x14ac:dyDescent="0.2">
      <c r="D71" s="59" t="s">
        <v>239</v>
      </c>
      <c r="E71" s="1" t="s">
        <v>173</v>
      </c>
      <c r="F71" s="60"/>
    </row>
    <row r="72" spans="4:6" ht="18" x14ac:dyDescent="0.2">
      <c r="D72" s="59" t="s">
        <v>240</v>
      </c>
      <c r="E72" s="1" t="s">
        <v>175</v>
      </c>
      <c r="F72" s="60"/>
    </row>
    <row r="73" spans="4:6" ht="18" x14ac:dyDescent="0.2">
      <c r="D73" s="59" t="s">
        <v>241</v>
      </c>
      <c r="E73" s="1" t="s">
        <v>172</v>
      </c>
      <c r="F73" s="60"/>
    </row>
    <row r="74" spans="4:6" ht="18" x14ac:dyDescent="0.2">
      <c r="D74" s="59" t="s">
        <v>242</v>
      </c>
      <c r="E74" s="1" t="s">
        <v>175</v>
      </c>
      <c r="F74" s="60"/>
    </row>
    <row r="75" spans="4:6" ht="18" x14ac:dyDescent="0.2">
      <c r="D75" s="59" t="s">
        <v>243</v>
      </c>
      <c r="E75" s="1" t="s">
        <v>180</v>
      </c>
      <c r="F75" s="60"/>
    </row>
    <row r="76" spans="4:6" ht="18" x14ac:dyDescent="0.2">
      <c r="D76" s="59" t="s">
        <v>244</v>
      </c>
      <c r="E76" s="1" t="s">
        <v>171</v>
      </c>
      <c r="F76" s="60"/>
    </row>
    <row r="77" spans="4:6" ht="18" x14ac:dyDescent="0.2">
      <c r="D77" s="59" t="s">
        <v>245</v>
      </c>
      <c r="E77" s="1" t="s">
        <v>173</v>
      </c>
      <c r="F77" s="60"/>
    </row>
    <row r="78" spans="4:6" ht="18" x14ac:dyDescent="0.2">
      <c r="D78" s="59" t="s">
        <v>246</v>
      </c>
      <c r="E78" s="1" t="s">
        <v>169</v>
      </c>
      <c r="F78" s="60"/>
    </row>
    <row r="79" spans="4:6" ht="18" x14ac:dyDescent="0.2">
      <c r="D79" s="59" t="s">
        <v>247</v>
      </c>
      <c r="E79" s="1" t="s">
        <v>180</v>
      </c>
      <c r="F79" s="60"/>
    </row>
    <row r="80" spans="4:6" ht="18" x14ac:dyDescent="0.2">
      <c r="D80" s="59" t="s">
        <v>248</v>
      </c>
      <c r="E80" s="1" t="s">
        <v>175</v>
      </c>
      <c r="F80" s="60"/>
    </row>
    <row r="81" spans="4:6" ht="18" x14ac:dyDescent="0.2">
      <c r="D81" s="59" t="s">
        <v>249</v>
      </c>
      <c r="E81" s="1" t="s">
        <v>172</v>
      </c>
      <c r="F81" s="60"/>
    </row>
    <row r="82" spans="4:6" ht="18" x14ac:dyDescent="0.2">
      <c r="D82" s="59" t="s">
        <v>250</v>
      </c>
      <c r="E82" s="1" t="s">
        <v>178</v>
      </c>
      <c r="F82" s="60"/>
    </row>
    <row r="83" spans="4:6" ht="18" x14ac:dyDescent="0.2">
      <c r="D83" s="59" t="s">
        <v>251</v>
      </c>
      <c r="E83" s="1" t="s">
        <v>171</v>
      </c>
      <c r="F83" s="60"/>
    </row>
    <row r="84" spans="4:6" ht="18" x14ac:dyDescent="0.2">
      <c r="D84" s="59" t="s">
        <v>252</v>
      </c>
      <c r="E84" s="1" t="s">
        <v>175</v>
      </c>
      <c r="F84" s="60"/>
    </row>
    <row r="85" spans="4:6" ht="18" x14ac:dyDescent="0.2">
      <c r="D85" s="59" t="s">
        <v>253</v>
      </c>
      <c r="E85" s="1" t="s">
        <v>169</v>
      </c>
      <c r="F85" s="60"/>
    </row>
    <row r="86" spans="4:6" ht="18" x14ac:dyDescent="0.2">
      <c r="D86" s="59" t="s">
        <v>254</v>
      </c>
      <c r="E86" s="1" t="s">
        <v>180</v>
      </c>
      <c r="F86" s="60"/>
    </row>
    <row r="87" spans="4:6" ht="18" x14ac:dyDescent="0.2">
      <c r="D87" s="59" t="s">
        <v>255</v>
      </c>
      <c r="E87" s="1" t="s">
        <v>173</v>
      </c>
      <c r="F87" s="60"/>
    </row>
    <row r="88" spans="4:6" ht="18" x14ac:dyDescent="0.2">
      <c r="D88" s="59" t="s">
        <v>256</v>
      </c>
      <c r="E88" s="1" t="s">
        <v>178</v>
      </c>
      <c r="F88" s="60"/>
    </row>
    <row r="89" spans="4:6" ht="18" x14ac:dyDescent="0.2">
      <c r="D89" s="59" t="s">
        <v>257</v>
      </c>
      <c r="E89" s="1" t="s">
        <v>169</v>
      </c>
      <c r="F89" s="60"/>
    </row>
    <row r="90" spans="4:6" ht="18" x14ac:dyDescent="0.2">
      <c r="D90" s="59" t="s">
        <v>258</v>
      </c>
      <c r="E90" s="1" t="s">
        <v>173</v>
      </c>
      <c r="F90" s="60"/>
    </row>
    <row r="91" spans="4:6" ht="18" x14ac:dyDescent="0.2">
      <c r="D91" s="59" t="s">
        <v>259</v>
      </c>
      <c r="E91" s="1" t="s">
        <v>172</v>
      </c>
      <c r="F91" s="60"/>
    </row>
    <row r="92" spans="4:6" ht="18" x14ac:dyDescent="0.2">
      <c r="D92" s="59" t="s">
        <v>260</v>
      </c>
      <c r="E92" s="1" t="s">
        <v>171</v>
      </c>
      <c r="F92" s="60"/>
    </row>
    <row r="93" spans="4:6" ht="18" x14ac:dyDescent="0.2">
      <c r="D93" s="59" t="s">
        <v>261</v>
      </c>
      <c r="E93" s="1" t="s">
        <v>180</v>
      </c>
      <c r="F93" s="60"/>
    </row>
    <row r="94" spans="4:6" ht="18" x14ac:dyDescent="0.2">
      <c r="D94" s="59" t="s">
        <v>262</v>
      </c>
      <c r="E94" s="1" t="s">
        <v>171</v>
      </c>
      <c r="F94" s="60"/>
    </row>
    <row r="95" spans="4:6" ht="18" x14ac:dyDescent="0.2">
      <c r="D95" s="59" t="s">
        <v>263</v>
      </c>
      <c r="E95" s="1" t="s">
        <v>172</v>
      </c>
      <c r="F95" s="60"/>
    </row>
    <row r="96" spans="4:6" ht="18" x14ac:dyDescent="0.2">
      <c r="D96" s="59" t="s">
        <v>264</v>
      </c>
      <c r="E96" s="1" t="s">
        <v>175</v>
      </c>
      <c r="F96" s="60"/>
    </row>
    <row r="97" spans="4:6" ht="18" x14ac:dyDescent="0.2">
      <c r="D97" s="59" t="s">
        <v>265</v>
      </c>
      <c r="E97" s="1" t="s">
        <v>173</v>
      </c>
      <c r="F97" s="60"/>
    </row>
    <row r="98" spans="4:6" ht="18" x14ac:dyDescent="0.2">
      <c r="D98" s="59" t="s">
        <v>266</v>
      </c>
      <c r="E98" s="1" t="s">
        <v>177</v>
      </c>
      <c r="F98" s="60"/>
    </row>
    <row r="99" spans="4:6" ht="18" x14ac:dyDescent="0.2">
      <c r="D99" s="59" t="s">
        <v>267</v>
      </c>
      <c r="E99" s="1" t="s">
        <v>169</v>
      </c>
      <c r="F99" s="60"/>
    </row>
    <row r="100" spans="4:6" ht="18" x14ac:dyDescent="0.2">
      <c r="D100" s="59" t="s">
        <v>268</v>
      </c>
      <c r="E100" s="1" t="s">
        <v>173</v>
      </c>
      <c r="F100" s="60"/>
    </row>
    <row r="101" spans="4:6" ht="18" x14ac:dyDescent="0.2">
      <c r="D101" s="59" t="s">
        <v>269</v>
      </c>
      <c r="E101" s="1" t="s">
        <v>172</v>
      </c>
      <c r="F101" s="60"/>
    </row>
    <row r="102" spans="4:6" ht="18" x14ac:dyDescent="0.2">
      <c r="D102" s="59" t="s">
        <v>270</v>
      </c>
      <c r="E102" s="1" t="s">
        <v>178</v>
      </c>
      <c r="F102" s="60"/>
    </row>
    <row r="103" spans="4:6" ht="18" x14ac:dyDescent="0.2">
      <c r="D103" s="59" t="s">
        <v>271</v>
      </c>
      <c r="E103" s="1" t="s">
        <v>172</v>
      </c>
      <c r="F103" s="60"/>
    </row>
    <row r="104" spans="4:6" ht="18" x14ac:dyDescent="0.2">
      <c r="D104" s="59" t="s">
        <v>272</v>
      </c>
      <c r="E104" s="1" t="s">
        <v>172</v>
      </c>
      <c r="F104" s="60"/>
    </row>
    <row r="105" spans="4:6" ht="18" x14ac:dyDescent="0.2">
      <c r="D105" s="59" t="s">
        <v>273</v>
      </c>
      <c r="E105" s="1" t="s">
        <v>175</v>
      </c>
      <c r="F105" s="60"/>
    </row>
    <row r="106" spans="4:6" ht="18" x14ac:dyDescent="0.2">
      <c r="D106" s="59" t="s">
        <v>274</v>
      </c>
      <c r="E106" s="1" t="s">
        <v>180</v>
      </c>
      <c r="F106" s="60"/>
    </row>
    <row r="107" spans="4:6" ht="18" x14ac:dyDescent="0.2">
      <c r="D107" s="59" t="s">
        <v>275</v>
      </c>
      <c r="E107" s="1" t="s">
        <v>175</v>
      </c>
      <c r="F107" s="60"/>
    </row>
    <row r="108" spans="4:6" ht="18" x14ac:dyDescent="0.2">
      <c r="D108" s="59" t="s">
        <v>276</v>
      </c>
      <c r="E108" s="1" t="s">
        <v>178</v>
      </c>
      <c r="F108" s="60"/>
    </row>
    <row r="109" spans="4:6" ht="18" x14ac:dyDescent="0.2">
      <c r="D109" s="59" t="s">
        <v>277</v>
      </c>
      <c r="E109" s="1" t="s">
        <v>169</v>
      </c>
      <c r="F109" s="60"/>
    </row>
    <row r="110" spans="4:6" ht="18" x14ac:dyDescent="0.2">
      <c r="D110" s="59" t="s">
        <v>278</v>
      </c>
      <c r="E110" s="1" t="s">
        <v>180</v>
      </c>
      <c r="F110" s="60"/>
    </row>
    <row r="111" spans="4:6" ht="18" x14ac:dyDescent="0.2">
      <c r="D111" s="59" t="s">
        <v>279</v>
      </c>
      <c r="E111" s="1" t="s">
        <v>175</v>
      </c>
      <c r="F111" s="60"/>
    </row>
    <row r="112" spans="4:6" ht="18" x14ac:dyDescent="0.2">
      <c r="D112" s="59" t="s">
        <v>280</v>
      </c>
      <c r="E112" s="1" t="s">
        <v>172</v>
      </c>
      <c r="F112" s="60"/>
    </row>
    <row r="113" spans="4:6" ht="18" x14ac:dyDescent="0.2">
      <c r="D113" s="59" t="s">
        <v>281</v>
      </c>
      <c r="E113" s="1" t="s">
        <v>171</v>
      </c>
      <c r="F113" s="60"/>
    </row>
    <row r="114" spans="4:6" ht="18" x14ac:dyDescent="0.2">
      <c r="D114" s="59" t="s">
        <v>282</v>
      </c>
      <c r="E114" s="1" t="s">
        <v>175</v>
      </c>
      <c r="F114" s="60"/>
    </row>
    <row r="115" spans="4:6" ht="18" x14ac:dyDescent="0.2">
      <c r="D115" s="59" t="s">
        <v>283</v>
      </c>
      <c r="E115" s="1" t="s">
        <v>173</v>
      </c>
      <c r="F115" s="60"/>
    </row>
    <row r="116" spans="4:6" ht="18" x14ac:dyDescent="0.2">
      <c r="D116" s="1" t="s">
        <v>67</v>
      </c>
      <c r="E116" s="1" t="s">
        <v>171</v>
      </c>
      <c r="F116" s="60"/>
    </row>
    <row r="117" spans="4:6" ht="18" x14ac:dyDescent="0.2">
      <c r="D117" s="1" t="s">
        <v>68</v>
      </c>
      <c r="E117" s="1" t="s">
        <v>173</v>
      </c>
      <c r="F117" s="60"/>
    </row>
    <row r="118" spans="4:6" ht="18" x14ac:dyDescent="0.2">
      <c r="D118" s="1" t="s">
        <v>69</v>
      </c>
      <c r="E118" s="1" t="s">
        <v>175</v>
      </c>
      <c r="F118" s="60"/>
    </row>
    <row r="119" spans="4:6" ht="18" x14ac:dyDescent="0.2">
      <c r="D119" s="1" t="s">
        <v>70</v>
      </c>
      <c r="E119" s="1" t="s">
        <v>172</v>
      </c>
      <c r="F119" s="60"/>
    </row>
    <row r="120" spans="4:6" ht="18" x14ac:dyDescent="0.2">
      <c r="D120" s="1" t="s">
        <v>71</v>
      </c>
      <c r="E120" s="1" t="s">
        <v>175</v>
      </c>
      <c r="F120" s="60"/>
    </row>
    <row r="121" spans="4:6" ht="18" x14ac:dyDescent="0.2">
      <c r="D121" s="1" t="s">
        <v>72</v>
      </c>
      <c r="E121" s="1" t="s">
        <v>180</v>
      </c>
      <c r="F121" s="60"/>
    </row>
    <row r="122" spans="4:6" ht="18" x14ac:dyDescent="0.2">
      <c r="D122" s="1" t="s">
        <v>73</v>
      </c>
      <c r="E122" s="1" t="s">
        <v>171</v>
      </c>
      <c r="F122" s="60"/>
    </row>
    <row r="123" spans="4:6" ht="18" x14ac:dyDescent="0.2">
      <c r="D123" s="1" t="s">
        <v>74</v>
      </c>
      <c r="E123" s="1" t="s">
        <v>173</v>
      </c>
      <c r="F123" s="60"/>
    </row>
    <row r="124" spans="4:6" ht="18" x14ac:dyDescent="0.2">
      <c r="D124" s="1" t="s">
        <v>75</v>
      </c>
      <c r="E124" s="1" t="s">
        <v>169</v>
      </c>
      <c r="F124" s="60"/>
    </row>
    <row r="125" spans="4:6" ht="18" x14ac:dyDescent="0.2">
      <c r="D125" s="1" t="s">
        <v>76</v>
      </c>
      <c r="E125" s="1" t="s">
        <v>180</v>
      </c>
      <c r="F125" s="60"/>
    </row>
    <row r="126" spans="4:6" ht="18" x14ac:dyDescent="0.2">
      <c r="D126" s="1" t="s">
        <v>77</v>
      </c>
      <c r="E126" s="1" t="s">
        <v>175</v>
      </c>
      <c r="F126" s="60"/>
    </row>
    <row r="127" spans="4:6" ht="18" x14ac:dyDescent="0.2">
      <c r="D127" s="1" t="s">
        <v>78</v>
      </c>
      <c r="E127" s="1" t="s">
        <v>172</v>
      </c>
      <c r="F127" s="60"/>
    </row>
    <row r="128" spans="4:6" ht="18" x14ac:dyDescent="0.2">
      <c r="D128" s="1" t="s">
        <v>79</v>
      </c>
      <c r="E128" s="1" t="s">
        <v>178</v>
      </c>
      <c r="F128" s="60"/>
    </row>
    <row r="129" spans="4:6" ht="18" x14ac:dyDescent="0.2">
      <c r="D129" s="1" t="s">
        <v>80</v>
      </c>
      <c r="E129" s="1" t="s">
        <v>171</v>
      </c>
      <c r="F129" s="60"/>
    </row>
    <row r="130" spans="4:6" ht="18" x14ac:dyDescent="0.2">
      <c r="D130" s="1" t="s">
        <v>81</v>
      </c>
      <c r="E130" s="1" t="s">
        <v>175</v>
      </c>
      <c r="F130" s="60"/>
    </row>
    <row r="131" spans="4:6" ht="18" x14ac:dyDescent="0.2">
      <c r="D131" s="1" t="s">
        <v>82</v>
      </c>
      <c r="E131" s="1" t="s">
        <v>169</v>
      </c>
      <c r="F131" s="60"/>
    </row>
    <row r="132" spans="4:6" ht="18" x14ac:dyDescent="0.2">
      <c r="D132" s="1" t="s">
        <v>83</v>
      </c>
      <c r="E132" s="1" t="s">
        <v>180</v>
      </c>
      <c r="F132" s="60"/>
    </row>
    <row r="133" spans="4:6" ht="18" x14ac:dyDescent="0.2">
      <c r="D133" s="1" t="s">
        <v>84</v>
      </c>
      <c r="E133" s="1" t="s">
        <v>173</v>
      </c>
      <c r="F133" s="60"/>
    </row>
    <row r="134" spans="4:6" ht="18" x14ac:dyDescent="0.2">
      <c r="D134" s="1" t="s">
        <v>85</v>
      </c>
      <c r="E134" s="1" t="s">
        <v>178</v>
      </c>
      <c r="F134" s="60"/>
    </row>
    <row r="135" spans="4:6" ht="18" x14ac:dyDescent="0.2">
      <c r="D135" s="1" t="s">
        <v>86</v>
      </c>
      <c r="E135" s="1" t="s">
        <v>169</v>
      </c>
      <c r="F135" s="60"/>
    </row>
    <row r="136" spans="4:6" ht="18" x14ac:dyDescent="0.2">
      <c r="D136" s="1" t="s">
        <v>87</v>
      </c>
      <c r="E136" s="1" t="s">
        <v>173</v>
      </c>
      <c r="F136" s="60"/>
    </row>
    <row r="137" spans="4:6" ht="18" x14ac:dyDescent="0.2">
      <c r="D137" s="1" t="s">
        <v>88</v>
      </c>
      <c r="E137" s="1" t="s">
        <v>172</v>
      </c>
      <c r="F137" s="60"/>
    </row>
    <row r="138" spans="4:6" ht="18" x14ac:dyDescent="0.2">
      <c r="D138" s="1" t="s">
        <v>89</v>
      </c>
      <c r="E138" s="1" t="s">
        <v>171</v>
      </c>
      <c r="F138" s="60"/>
    </row>
    <row r="139" spans="4:6" ht="18" x14ac:dyDescent="0.2">
      <c r="D139" s="1" t="s">
        <v>90</v>
      </c>
      <c r="E139" s="1" t="s">
        <v>180</v>
      </c>
      <c r="F139" s="60"/>
    </row>
    <row r="140" spans="4:6" ht="18" x14ac:dyDescent="0.2">
      <c r="D140" s="1" t="s">
        <v>91</v>
      </c>
      <c r="E140" s="1" t="s">
        <v>171</v>
      </c>
      <c r="F140" s="60"/>
    </row>
    <row r="141" spans="4:6" ht="18" x14ac:dyDescent="0.2">
      <c r="D141" s="1" t="s">
        <v>92</v>
      </c>
      <c r="E141" s="1" t="s">
        <v>172</v>
      </c>
      <c r="F141" s="60"/>
    </row>
    <row r="142" spans="4:6" ht="18" x14ac:dyDescent="0.2">
      <c r="D142" s="1" t="s">
        <v>93</v>
      </c>
      <c r="E142" s="1" t="s">
        <v>175</v>
      </c>
      <c r="F142" s="60"/>
    </row>
    <row r="143" spans="4:6" ht="18" x14ac:dyDescent="0.2">
      <c r="D143" s="1" t="s">
        <v>94</v>
      </c>
      <c r="E143" s="1" t="s">
        <v>173</v>
      </c>
      <c r="F143" s="60"/>
    </row>
    <row r="144" spans="4:6" ht="18" x14ac:dyDescent="0.2">
      <c r="D144" s="1" t="s">
        <v>95</v>
      </c>
      <c r="E144" s="1" t="s">
        <v>177</v>
      </c>
      <c r="F144" s="60"/>
    </row>
    <row r="145" spans="1:6" ht="18" x14ac:dyDescent="0.2">
      <c r="D145" s="1" t="s">
        <v>96</v>
      </c>
      <c r="E145" s="1" t="s">
        <v>169</v>
      </c>
      <c r="F145" s="60"/>
    </row>
    <row r="146" spans="1:6" ht="18" x14ac:dyDescent="0.2">
      <c r="D146" s="1" t="s">
        <v>97</v>
      </c>
      <c r="E146" s="1" t="s">
        <v>173</v>
      </c>
      <c r="F146" s="60"/>
    </row>
    <row r="147" spans="1:6" ht="18" x14ac:dyDescent="0.2">
      <c r="D147" s="1" t="s">
        <v>98</v>
      </c>
      <c r="E147" s="1" t="s">
        <v>172</v>
      </c>
      <c r="F147" s="60"/>
    </row>
    <row r="148" spans="1:6" ht="18" x14ac:dyDescent="0.2">
      <c r="D148" s="1" t="s">
        <v>99</v>
      </c>
      <c r="E148" s="1" t="s">
        <v>178</v>
      </c>
      <c r="F148" s="60"/>
    </row>
    <row r="149" spans="1:6" ht="18" x14ac:dyDescent="0.2">
      <c r="D149" s="1" t="s">
        <v>100</v>
      </c>
      <c r="E149" s="1" t="s">
        <v>172</v>
      </c>
      <c r="F149" s="60"/>
    </row>
    <row r="150" spans="1:6" ht="18" x14ac:dyDescent="0.2">
      <c r="D150" s="1" t="s">
        <v>101</v>
      </c>
      <c r="E150" s="1" t="s">
        <v>172</v>
      </c>
      <c r="F150" s="60"/>
    </row>
    <row r="151" spans="1:6" ht="18" x14ac:dyDescent="0.2">
      <c r="D151" s="1" t="s">
        <v>102</v>
      </c>
      <c r="E151" s="1" t="s">
        <v>175</v>
      </c>
      <c r="F151" s="60"/>
    </row>
    <row r="152" spans="1:6" ht="18" x14ac:dyDescent="0.2">
      <c r="D152" s="1" t="s">
        <v>103</v>
      </c>
      <c r="E152" s="1" t="s">
        <v>180</v>
      </c>
      <c r="F152" s="60"/>
    </row>
    <row r="153" spans="1:6" ht="18" x14ac:dyDescent="0.2">
      <c r="D153" s="1" t="s">
        <v>104</v>
      </c>
      <c r="E153" s="1" t="s">
        <v>175</v>
      </c>
      <c r="F153" s="60"/>
    </row>
    <row r="154" spans="1:6" ht="18" x14ac:dyDescent="0.2">
      <c r="D154" s="1" t="s">
        <v>105</v>
      </c>
      <c r="E154" s="1" t="s">
        <v>178</v>
      </c>
      <c r="F154" s="60"/>
    </row>
    <row r="155" spans="1:6" ht="18" x14ac:dyDescent="0.2">
      <c r="D155" s="1" t="s">
        <v>106</v>
      </c>
      <c r="E155" s="1" t="s">
        <v>169</v>
      </c>
      <c r="F155" s="60"/>
    </row>
    <row r="156" spans="1:6" ht="18" x14ac:dyDescent="0.2">
      <c r="D156" s="1" t="s">
        <v>107</v>
      </c>
      <c r="E156" s="1" t="s">
        <v>180</v>
      </c>
      <c r="F156" s="60"/>
    </row>
    <row r="157" spans="1:6" ht="18" x14ac:dyDescent="0.2">
      <c r="B157" s="6"/>
      <c r="D157" s="1" t="s">
        <v>108</v>
      </c>
      <c r="E157" s="1" t="s">
        <v>175</v>
      </c>
      <c r="F157" s="60"/>
    </row>
    <row r="158" spans="1:6" ht="18" x14ac:dyDescent="0.2">
      <c r="B158" s="6"/>
      <c r="D158" s="1" t="s">
        <v>109</v>
      </c>
      <c r="E158" s="1" t="s">
        <v>172</v>
      </c>
      <c r="F158" s="60"/>
    </row>
    <row r="159" spans="1:6" ht="18" x14ac:dyDescent="0.2">
      <c r="B159" s="6"/>
      <c r="D159" s="1" t="s">
        <v>110</v>
      </c>
      <c r="E159" s="1" t="s">
        <v>171</v>
      </c>
      <c r="F159" s="60"/>
    </row>
    <row r="160" spans="1:6" ht="18" x14ac:dyDescent="0.2">
      <c r="A160" s="6"/>
      <c r="B160" s="6"/>
      <c r="D160" s="1" t="s">
        <v>111</v>
      </c>
      <c r="E160" s="1" t="s">
        <v>175</v>
      </c>
      <c r="F160" s="60"/>
    </row>
    <row r="161" spans="4:18" s="6" customFormat="1" ht="18" x14ac:dyDescent="0.2">
      <c r="D161" s="1" t="s">
        <v>112</v>
      </c>
      <c r="E161" s="1" t="s">
        <v>173</v>
      </c>
      <c r="F161" s="60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</row>
    <row r="162" spans="4:18" s="6" customFormat="1" ht="18" x14ac:dyDescent="0.2">
      <c r="D162" s="1" t="s">
        <v>113</v>
      </c>
      <c r="E162" s="1" t="s">
        <v>171</v>
      </c>
      <c r="F162" s="60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</row>
    <row r="163" spans="4:18" s="6" customFormat="1" ht="18" x14ac:dyDescent="0.2">
      <c r="D163" s="1" t="s">
        <v>114</v>
      </c>
      <c r="E163" s="1" t="s">
        <v>173</v>
      </c>
      <c r="F163" s="60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</row>
    <row r="164" spans="4:18" s="6" customFormat="1" ht="18" x14ac:dyDescent="0.2">
      <c r="D164" s="1" t="s">
        <v>115</v>
      </c>
      <c r="E164" s="1" t="s">
        <v>175</v>
      </c>
      <c r="F164" s="60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</row>
    <row r="165" spans="4:18" s="6" customFormat="1" ht="18" x14ac:dyDescent="0.2">
      <c r="D165" s="1" t="s">
        <v>116</v>
      </c>
      <c r="E165" s="1" t="s">
        <v>172</v>
      </c>
      <c r="F165" s="60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</row>
    <row r="166" spans="4:18" s="6" customFormat="1" ht="18" x14ac:dyDescent="0.2">
      <c r="D166" s="1" t="s">
        <v>117</v>
      </c>
      <c r="E166" s="1" t="s">
        <v>175</v>
      </c>
      <c r="F166" s="60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</row>
    <row r="167" spans="4:18" s="6" customFormat="1" ht="18" x14ac:dyDescent="0.2">
      <c r="D167" s="1" t="s">
        <v>118</v>
      </c>
      <c r="E167" s="1" t="s">
        <v>180</v>
      </c>
      <c r="F167" s="60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</row>
    <row r="168" spans="4:18" s="6" customFormat="1" ht="18" x14ac:dyDescent="0.2">
      <c r="D168" s="1" t="s">
        <v>119</v>
      </c>
      <c r="E168" s="1" t="s">
        <v>171</v>
      </c>
      <c r="F168" s="60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</row>
    <row r="169" spans="4:18" s="6" customFormat="1" ht="18" x14ac:dyDescent="0.2">
      <c r="D169" s="1" t="s">
        <v>120</v>
      </c>
      <c r="E169" s="1" t="s">
        <v>173</v>
      </c>
      <c r="F169" s="60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</row>
    <row r="170" spans="4:18" s="6" customFormat="1" ht="18" x14ac:dyDescent="0.2">
      <c r="D170" s="1" t="s">
        <v>121</v>
      </c>
      <c r="E170" s="1" t="s">
        <v>169</v>
      </c>
      <c r="F170" s="60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</row>
    <row r="171" spans="4:18" s="6" customFormat="1" ht="18" x14ac:dyDescent="0.2">
      <c r="D171" s="1" t="s">
        <v>122</v>
      </c>
      <c r="E171" s="1" t="s">
        <v>180</v>
      </c>
      <c r="F171" s="60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</row>
    <row r="172" spans="4:18" s="6" customFormat="1" ht="18" x14ac:dyDescent="0.2">
      <c r="D172" s="1" t="s">
        <v>123</v>
      </c>
      <c r="E172" s="1" t="s">
        <v>175</v>
      </c>
      <c r="F172" s="60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</row>
    <row r="173" spans="4:18" s="6" customFormat="1" ht="18" x14ac:dyDescent="0.2">
      <c r="D173" s="1" t="s">
        <v>124</v>
      </c>
      <c r="E173" s="1" t="s">
        <v>172</v>
      </c>
      <c r="F173" s="60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</row>
    <row r="174" spans="4:18" s="6" customFormat="1" ht="18" x14ac:dyDescent="0.2">
      <c r="D174" s="1" t="s">
        <v>125</v>
      </c>
      <c r="E174" s="1" t="s">
        <v>178</v>
      </c>
      <c r="F174" s="60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</row>
    <row r="175" spans="4:18" s="6" customFormat="1" ht="18" x14ac:dyDescent="0.2">
      <c r="D175" s="1" t="s">
        <v>126</v>
      </c>
      <c r="E175" s="1" t="s">
        <v>171</v>
      </c>
      <c r="F175" s="60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</row>
    <row r="176" spans="4:18" s="6" customFormat="1" ht="18" x14ac:dyDescent="0.2">
      <c r="D176" s="1" t="s">
        <v>127</v>
      </c>
      <c r="E176" s="1" t="s">
        <v>175</v>
      </c>
      <c r="F176" s="60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</row>
    <row r="177" spans="4:18" s="6" customFormat="1" ht="18" x14ac:dyDescent="0.2">
      <c r="D177" s="1" t="s">
        <v>128</v>
      </c>
      <c r="E177" s="1" t="s">
        <v>169</v>
      </c>
      <c r="F177" s="60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</row>
    <row r="178" spans="4:18" s="6" customFormat="1" ht="18" x14ac:dyDescent="0.2">
      <c r="D178" s="1" t="s">
        <v>129</v>
      </c>
      <c r="E178" s="1" t="s">
        <v>180</v>
      </c>
      <c r="F178" s="60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</row>
    <row r="179" spans="4:18" s="6" customFormat="1" ht="18" x14ac:dyDescent="0.2">
      <c r="D179" s="1" t="s">
        <v>130</v>
      </c>
      <c r="E179" s="1" t="s">
        <v>173</v>
      </c>
      <c r="F179" s="60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</row>
    <row r="180" spans="4:18" s="6" customFormat="1" ht="18" x14ac:dyDescent="0.2">
      <c r="D180" s="1" t="s">
        <v>131</v>
      </c>
      <c r="E180" s="1" t="s">
        <v>178</v>
      </c>
      <c r="F180" s="60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</row>
    <row r="181" spans="4:18" s="6" customFormat="1" ht="18" x14ac:dyDescent="0.2">
      <c r="D181" s="1" t="s">
        <v>132</v>
      </c>
      <c r="E181" s="1" t="s">
        <v>169</v>
      </c>
      <c r="F181" s="60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</row>
    <row r="182" spans="4:18" s="6" customFormat="1" ht="18" x14ac:dyDescent="0.2">
      <c r="D182" s="1" t="s">
        <v>133</v>
      </c>
      <c r="E182" s="1" t="s">
        <v>173</v>
      </c>
      <c r="F182" s="60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</row>
    <row r="183" spans="4:18" s="6" customFormat="1" ht="18" x14ac:dyDescent="0.2">
      <c r="D183" s="1" t="s">
        <v>134</v>
      </c>
      <c r="E183" s="1" t="s">
        <v>172</v>
      </c>
      <c r="F183" s="60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</row>
    <row r="184" spans="4:18" s="6" customFormat="1" ht="18" x14ac:dyDescent="0.2">
      <c r="D184" s="1" t="s">
        <v>135</v>
      </c>
      <c r="E184" s="1" t="s">
        <v>171</v>
      </c>
      <c r="F184" s="60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</row>
    <row r="185" spans="4:18" s="6" customFormat="1" ht="18" x14ac:dyDescent="0.2">
      <c r="D185" s="1" t="s">
        <v>136</v>
      </c>
      <c r="E185" s="1" t="s">
        <v>180</v>
      </c>
      <c r="F185" s="60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</row>
    <row r="186" spans="4:18" s="6" customFormat="1" ht="18" x14ac:dyDescent="0.2">
      <c r="D186" s="1" t="s">
        <v>137</v>
      </c>
      <c r="E186" s="1" t="s">
        <v>171</v>
      </c>
      <c r="F186" s="60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</row>
    <row r="187" spans="4:18" s="6" customFormat="1" ht="18" x14ac:dyDescent="0.2">
      <c r="D187" s="1" t="s">
        <v>138</v>
      </c>
      <c r="E187" s="1" t="s">
        <v>172</v>
      </c>
      <c r="F187" s="60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</row>
    <row r="188" spans="4:18" s="6" customFormat="1" ht="18" x14ac:dyDescent="0.2">
      <c r="D188" s="1" t="s">
        <v>139</v>
      </c>
      <c r="E188" s="1" t="s">
        <v>175</v>
      </c>
      <c r="F188" s="60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</row>
    <row r="189" spans="4:18" s="6" customFormat="1" ht="18" x14ac:dyDescent="0.2">
      <c r="D189" s="1" t="s">
        <v>140</v>
      </c>
      <c r="E189" s="1" t="s">
        <v>173</v>
      </c>
      <c r="F189" s="60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</row>
    <row r="190" spans="4:18" s="6" customFormat="1" ht="18" x14ac:dyDescent="0.2">
      <c r="D190" s="1" t="s">
        <v>141</v>
      </c>
      <c r="E190" s="1" t="s">
        <v>177</v>
      </c>
      <c r="F190" s="60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</row>
    <row r="191" spans="4:18" s="6" customFormat="1" ht="18" x14ac:dyDescent="0.2">
      <c r="D191" s="1" t="s">
        <v>142</v>
      </c>
      <c r="E191" s="1" t="s">
        <v>169</v>
      </c>
      <c r="F191" s="60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</row>
    <row r="192" spans="4:18" s="6" customFormat="1" ht="18" x14ac:dyDescent="0.2">
      <c r="D192" s="1" t="s">
        <v>143</v>
      </c>
      <c r="E192" s="1" t="s">
        <v>173</v>
      </c>
      <c r="F192" s="60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</row>
    <row r="193" spans="4:18" s="6" customFormat="1" ht="18" x14ac:dyDescent="0.2">
      <c r="D193" s="1" t="s">
        <v>144</v>
      </c>
      <c r="E193" s="1" t="s">
        <v>172</v>
      </c>
      <c r="F193" s="60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</row>
    <row r="194" spans="4:18" s="6" customFormat="1" ht="18" x14ac:dyDescent="0.2">
      <c r="D194" s="1" t="s">
        <v>145</v>
      </c>
      <c r="E194" s="1" t="s">
        <v>178</v>
      </c>
      <c r="F194" s="60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</row>
    <row r="195" spans="4:18" s="6" customFormat="1" ht="18" x14ac:dyDescent="0.2">
      <c r="D195" s="1" t="s">
        <v>146</v>
      </c>
      <c r="E195" s="1" t="s">
        <v>172</v>
      </c>
      <c r="F195" s="60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</row>
    <row r="196" spans="4:18" s="6" customFormat="1" ht="18" x14ac:dyDescent="0.2">
      <c r="D196" s="1" t="s">
        <v>147</v>
      </c>
      <c r="E196" s="1" t="s">
        <v>172</v>
      </c>
      <c r="F196" s="60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</row>
    <row r="197" spans="4:18" s="6" customFormat="1" ht="18" x14ac:dyDescent="0.2">
      <c r="D197" s="1" t="s">
        <v>148</v>
      </c>
      <c r="E197" s="1" t="s">
        <v>175</v>
      </c>
      <c r="F197" s="60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</row>
    <row r="198" spans="4:18" s="6" customFormat="1" ht="18" x14ac:dyDescent="0.2">
      <c r="D198" s="1" t="s">
        <v>149</v>
      </c>
      <c r="E198" s="1" t="s">
        <v>180</v>
      </c>
      <c r="F198" s="60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</row>
    <row r="199" spans="4:18" s="6" customFormat="1" ht="18" x14ac:dyDescent="0.2">
      <c r="D199" s="1" t="s">
        <v>150</v>
      </c>
      <c r="E199" s="1" t="s">
        <v>175</v>
      </c>
      <c r="F199" s="60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</row>
    <row r="200" spans="4:18" s="6" customFormat="1" ht="18" x14ac:dyDescent="0.2">
      <c r="D200" s="1" t="s">
        <v>151</v>
      </c>
      <c r="E200" s="1" t="s">
        <v>178</v>
      </c>
      <c r="F200" s="60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</row>
    <row r="201" spans="4:18" s="6" customFormat="1" ht="18" x14ac:dyDescent="0.2">
      <c r="D201" s="1" t="s">
        <v>152</v>
      </c>
      <c r="E201" s="1" t="s">
        <v>169</v>
      </c>
      <c r="F201" s="60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</row>
    <row r="202" spans="4:18" s="6" customFormat="1" ht="18" x14ac:dyDescent="0.2">
      <c r="D202" s="1" t="s">
        <v>153</v>
      </c>
      <c r="E202" s="1" t="s">
        <v>180</v>
      </c>
      <c r="F202" s="60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</row>
    <row r="203" spans="4:18" s="6" customFormat="1" ht="18" x14ac:dyDescent="0.2">
      <c r="D203" s="1" t="s">
        <v>154</v>
      </c>
      <c r="E203" s="1" t="s">
        <v>175</v>
      </c>
      <c r="F203" s="60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</row>
    <row r="204" spans="4:18" s="6" customFormat="1" ht="18" x14ac:dyDescent="0.2">
      <c r="D204" s="1" t="s">
        <v>155</v>
      </c>
      <c r="E204" s="1" t="s">
        <v>172</v>
      </c>
      <c r="F204" s="60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</row>
    <row r="205" spans="4:18" s="6" customFormat="1" ht="18" x14ac:dyDescent="0.2">
      <c r="D205" s="1" t="s">
        <v>156</v>
      </c>
      <c r="E205" s="1" t="s">
        <v>171</v>
      </c>
      <c r="F205" s="60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</row>
    <row r="206" spans="4:18" s="6" customFormat="1" ht="18" x14ac:dyDescent="0.2">
      <c r="D206" s="1" t="s">
        <v>157</v>
      </c>
      <c r="E206" s="1" t="s">
        <v>175</v>
      </c>
      <c r="F206" s="60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</row>
    <row r="207" spans="4:18" s="6" customFormat="1" ht="18" x14ac:dyDescent="0.2">
      <c r="D207" s="1" t="s">
        <v>158</v>
      </c>
      <c r="E207" s="1" t="s">
        <v>173</v>
      </c>
      <c r="F207" s="60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</row>
    <row r="208" spans="4:18" s="6" customFormat="1" ht="18" x14ac:dyDescent="0.2">
      <c r="D208" s="1" t="s">
        <v>159</v>
      </c>
      <c r="E208" s="1" t="s">
        <v>171</v>
      </c>
      <c r="F208" s="60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</row>
    <row r="209" spans="4:18" s="6" customFormat="1" ht="18" x14ac:dyDescent="0.2">
      <c r="D209" s="1" t="s">
        <v>160</v>
      </c>
      <c r="E209" s="1" t="s">
        <v>173</v>
      </c>
      <c r="F209" s="60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</row>
    <row r="210" spans="4:18" s="6" customFormat="1" ht="18" x14ac:dyDescent="0.2">
      <c r="D210" s="1" t="s">
        <v>161</v>
      </c>
      <c r="E210" s="1" t="s">
        <v>175</v>
      </c>
      <c r="F210" s="60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</row>
    <row r="211" spans="4:18" s="6" customFormat="1" ht="18" x14ac:dyDescent="0.2">
      <c r="D211" s="1" t="s">
        <v>162</v>
      </c>
      <c r="E211" s="1" t="s">
        <v>172</v>
      </c>
      <c r="F211" s="60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</row>
    <row r="212" spans="4:18" s="6" customFormat="1" ht="18" x14ac:dyDescent="0.2">
      <c r="D212" s="1" t="s">
        <v>163</v>
      </c>
      <c r="E212" s="1" t="s">
        <v>175</v>
      </c>
      <c r="F212" s="60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</row>
    <row r="213" spans="4:18" s="6" customFormat="1" ht="18" x14ac:dyDescent="0.2">
      <c r="D213" s="1" t="s">
        <v>164</v>
      </c>
      <c r="E213" s="1" t="s">
        <v>180</v>
      </c>
      <c r="F213" s="60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</row>
    <row r="214" spans="4:18" s="6" customFormat="1" x14ac:dyDescent="0.15"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</row>
    <row r="215" spans="4:18" s="6" customFormat="1" x14ac:dyDescent="0.15"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</row>
    <row r="216" spans="4:18" s="6" customFormat="1" x14ac:dyDescent="0.15"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</row>
    <row r="217" spans="4:18" s="6" customFormat="1" x14ac:dyDescent="0.15"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</row>
    <row r="218" spans="4:18" s="6" customFormat="1" x14ac:dyDescent="0.15"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</row>
    <row r="219" spans="4:18" s="6" customFormat="1" x14ac:dyDescent="0.15"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</row>
    <row r="220" spans="4:18" s="6" customFormat="1" x14ac:dyDescent="0.15"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</row>
    <row r="221" spans="4:18" s="6" customFormat="1" x14ac:dyDescent="0.15"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</row>
    <row r="222" spans="4:18" s="6" customFormat="1" x14ac:dyDescent="0.15"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</row>
    <row r="223" spans="4:18" s="6" customFormat="1" x14ac:dyDescent="0.15"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</row>
    <row r="224" spans="4:18" s="6" customFormat="1" x14ac:dyDescent="0.15"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</row>
    <row r="225" spans="7:18" s="6" customFormat="1" x14ac:dyDescent="0.15"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</row>
    <row r="226" spans="7:18" s="6" customFormat="1" x14ac:dyDescent="0.15"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</row>
    <row r="227" spans="7:18" s="6" customFormat="1" x14ac:dyDescent="0.15"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</row>
    <row r="228" spans="7:18" s="6" customFormat="1" x14ac:dyDescent="0.15"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</row>
    <row r="229" spans="7:18" s="6" customFormat="1" x14ac:dyDescent="0.15"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</row>
    <row r="230" spans="7:18" s="6" customFormat="1" x14ac:dyDescent="0.15"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</row>
    <row r="231" spans="7:18" s="6" customFormat="1" x14ac:dyDescent="0.15"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</row>
    <row r="232" spans="7:18" s="6" customFormat="1" x14ac:dyDescent="0.15"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</row>
    <row r="233" spans="7:18" s="6" customFormat="1" x14ac:dyDescent="0.15"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</row>
    <row r="234" spans="7:18" s="6" customFormat="1" x14ac:dyDescent="0.15"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</row>
    <row r="235" spans="7:18" s="6" customFormat="1" x14ac:dyDescent="0.15"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</row>
    <row r="236" spans="7:18" s="6" customFormat="1" x14ac:dyDescent="0.15"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</row>
    <row r="237" spans="7:18" s="6" customFormat="1" x14ac:dyDescent="0.15"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</row>
    <row r="238" spans="7:18" s="6" customFormat="1" x14ac:dyDescent="0.15"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</row>
    <row r="239" spans="7:18" s="6" customFormat="1" x14ac:dyDescent="0.15"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</row>
    <row r="240" spans="7:18" s="6" customFormat="1" x14ac:dyDescent="0.15"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</row>
    <row r="241" spans="7:18" s="6" customFormat="1" x14ac:dyDescent="0.15"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</row>
    <row r="242" spans="7:18" s="6" customFormat="1" x14ac:dyDescent="0.15"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</row>
    <row r="243" spans="7:18" s="6" customFormat="1" x14ac:dyDescent="0.15"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</row>
    <row r="244" spans="7:18" s="6" customFormat="1" x14ac:dyDescent="0.15"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</row>
    <row r="245" spans="7:18" s="6" customFormat="1" x14ac:dyDescent="0.15"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</row>
    <row r="246" spans="7:18" s="6" customFormat="1" x14ac:dyDescent="0.15"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</row>
    <row r="247" spans="7:18" s="6" customFormat="1" x14ac:dyDescent="0.15"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</row>
    <row r="248" spans="7:18" s="6" customFormat="1" x14ac:dyDescent="0.15"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</row>
    <row r="249" spans="7:18" s="6" customFormat="1" x14ac:dyDescent="0.15"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</row>
    <row r="250" spans="7:18" s="6" customFormat="1" x14ac:dyDescent="0.15"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</row>
    <row r="251" spans="7:18" s="6" customFormat="1" x14ac:dyDescent="0.15"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</row>
    <row r="252" spans="7:18" s="6" customFormat="1" x14ac:dyDescent="0.15"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</row>
    <row r="253" spans="7:18" s="6" customFormat="1" x14ac:dyDescent="0.15"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</row>
    <row r="254" spans="7:18" s="6" customFormat="1" x14ac:dyDescent="0.15"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</row>
    <row r="255" spans="7:18" s="6" customFormat="1" x14ac:dyDescent="0.15"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</row>
    <row r="256" spans="7:18" s="6" customFormat="1" x14ac:dyDescent="0.15"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</row>
    <row r="257" spans="1:18" s="6" customFormat="1" x14ac:dyDescent="0.15"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</row>
    <row r="258" spans="1:18" s="6" customFormat="1" x14ac:dyDescent="0.15"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</row>
    <row r="259" spans="1:18" s="6" customFormat="1" x14ac:dyDescent="0.15"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</row>
    <row r="260" spans="1:18" s="6" customFormat="1" x14ac:dyDescent="0.15"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</row>
    <row r="261" spans="1:18" s="6" customFormat="1" x14ac:dyDescent="0.15"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</row>
    <row r="262" spans="1:18" s="6" customFormat="1" x14ac:dyDescent="0.15"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</row>
    <row r="263" spans="1:18" s="6" customFormat="1" x14ac:dyDescent="0.15"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</row>
    <row r="264" spans="1:18" s="6" customFormat="1" x14ac:dyDescent="0.15"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</row>
    <row r="265" spans="1:18" s="6" customFormat="1" x14ac:dyDescent="0.15"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</row>
    <row r="266" spans="1:18" s="6" customFormat="1" x14ac:dyDescent="0.15"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</row>
    <row r="267" spans="1:18" s="6" customFormat="1" x14ac:dyDescent="0.15"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</row>
    <row r="268" spans="1:18" s="6" customFormat="1" x14ac:dyDescent="0.15"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</row>
    <row r="269" spans="1:18" s="6" customFormat="1" x14ac:dyDescent="0.15">
      <c r="B269" s="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</row>
    <row r="270" spans="1:18" s="6" customFormat="1" x14ac:dyDescent="0.15">
      <c r="B270" s="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</row>
    <row r="271" spans="1:18" s="6" customFormat="1" x14ac:dyDescent="0.15">
      <c r="B271" s="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</row>
    <row r="272" spans="1:18" s="6" customFormat="1" x14ac:dyDescent="0.15">
      <c r="A272"/>
      <c r="B272" s="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</row>
    <row r="285" spans="1:2" x14ac:dyDescent="0.15">
      <c r="B285" s="6"/>
    </row>
    <row r="286" spans="1:2" x14ac:dyDescent="0.15">
      <c r="B286" s="6"/>
    </row>
    <row r="287" spans="1:2" x14ac:dyDescent="0.15">
      <c r="B287" s="6"/>
    </row>
    <row r="288" spans="1:2" x14ac:dyDescent="0.15">
      <c r="A288" s="6"/>
      <c r="B288" s="6"/>
    </row>
    <row r="289" spans="7:18" s="6" customFormat="1" x14ac:dyDescent="0.15"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</row>
    <row r="290" spans="7:18" s="6" customFormat="1" x14ac:dyDescent="0.15"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</row>
    <row r="291" spans="7:18" s="6" customFormat="1" x14ac:dyDescent="0.15"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</row>
    <row r="292" spans="7:18" s="6" customFormat="1" x14ac:dyDescent="0.15"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</row>
    <row r="293" spans="7:18" s="6" customFormat="1" x14ac:dyDescent="0.15"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</row>
    <row r="294" spans="7:18" s="6" customFormat="1" x14ac:dyDescent="0.15"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</row>
    <row r="295" spans="7:18" s="6" customFormat="1" x14ac:dyDescent="0.15"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</row>
    <row r="296" spans="7:18" s="6" customFormat="1" x14ac:dyDescent="0.15"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</row>
    <row r="297" spans="7:18" s="6" customFormat="1" x14ac:dyDescent="0.15"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</row>
    <row r="298" spans="7:18" s="6" customFormat="1" x14ac:dyDescent="0.15"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</row>
    <row r="299" spans="7:18" s="6" customFormat="1" x14ac:dyDescent="0.15"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</row>
    <row r="300" spans="7:18" s="6" customFormat="1" x14ac:dyDescent="0.15"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</row>
    <row r="301" spans="7:18" s="6" customFormat="1" x14ac:dyDescent="0.15"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</row>
    <row r="302" spans="7:18" s="6" customFormat="1" x14ac:dyDescent="0.15"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</row>
    <row r="303" spans="7:18" s="6" customFormat="1" x14ac:dyDescent="0.15"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</row>
    <row r="304" spans="7:18" s="6" customFormat="1" x14ac:dyDescent="0.15"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</row>
    <row r="305" spans="7:18" s="6" customFormat="1" x14ac:dyDescent="0.15"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</row>
    <row r="306" spans="7:18" s="6" customFormat="1" x14ac:dyDescent="0.15"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</row>
    <row r="307" spans="7:18" s="6" customFormat="1" x14ac:dyDescent="0.15"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</row>
    <row r="308" spans="7:18" s="6" customFormat="1" x14ac:dyDescent="0.15"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</row>
    <row r="309" spans="7:18" s="6" customFormat="1" x14ac:dyDescent="0.15"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</row>
    <row r="310" spans="7:18" s="6" customFormat="1" x14ac:dyDescent="0.15"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</row>
    <row r="311" spans="7:18" s="6" customFormat="1" x14ac:dyDescent="0.15"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</row>
    <row r="312" spans="7:18" s="6" customFormat="1" x14ac:dyDescent="0.15"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</row>
    <row r="313" spans="7:18" s="6" customFormat="1" x14ac:dyDescent="0.15"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</row>
    <row r="314" spans="7:18" s="6" customFormat="1" x14ac:dyDescent="0.15"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</row>
    <row r="315" spans="7:18" s="6" customFormat="1" x14ac:dyDescent="0.15"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</row>
    <row r="316" spans="7:18" s="6" customFormat="1" x14ac:dyDescent="0.15"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</row>
    <row r="317" spans="7:18" s="6" customFormat="1" x14ac:dyDescent="0.15"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</row>
    <row r="318" spans="7:18" s="6" customFormat="1" x14ac:dyDescent="0.15"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</row>
    <row r="319" spans="7:18" s="6" customFormat="1" x14ac:dyDescent="0.15"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</row>
    <row r="320" spans="7:18" s="6" customFormat="1" x14ac:dyDescent="0.15"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</row>
    <row r="321" spans="7:18" s="6" customFormat="1" x14ac:dyDescent="0.15"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</row>
    <row r="322" spans="7:18" s="6" customFormat="1" x14ac:dyDescent="0.15"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</row>
    <row r="323" spans="7:18" s="6" customFormat="1" x14ac:dyDescent="0.15"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</row>
    <row r="324" spans="7:18" s="6" customFormat="1" x14ac:dyDescent="0.15"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</row>
    <row r="325" spans="7:18" s="6" customFormat="1" x14ac:dyDescent="0.15"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</row>
    <row r="326" spans="7:18" s="6" customFormat="1" x14ac:dyDescent="0.15"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</row>
    <row r="327" spans="7:18" s="6" customFormat="1" x14ac:dyDescent="0.15"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</row>
    <row r="328" spans="7:18" s="6" customFormat="1" x14ac:dyDescent="0.15"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</row>
    <row r="329" spans="7:18" s="6" customFormat="1" x14ac:dyDescent="0.15"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</row>
    <row r="330" spans="7:18" s="6" customFormat="1" x14ac:dyDescent="0.15"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</row>
    <row r="331" spans="7:18" s="6" customFormat="1" x14ac:dyDescent="0.15"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</row>
    <row r="332" spans="7:18" s="6" customFormat="1" x14ac:dyDescent="0.15"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</row>
    <row r="333" spans="7:18" s="6" customFormat="1" x14ac:dyDescent="0.15"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</row>
    <row r="334" spans="7:18" s="6" customFormat="1" x14ac:dyDescent="0.15"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</row>
    <row r="335" spans="7:18" s="6" customFormat="1" x14ac:dyDescent="0.15"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</row>
    <row r="336" spans="7:18" s="6" customFormat="1" x14ac:dyDescent="0.15"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</row>
    <row r="337" spans="7:18" s="6" customFormat="1" x14ac:dyDescent="0.15"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</row>
    <row r="338" spans="7:18" s="6" customFormat="1" x14ac:dyDescent="0.15"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</row>
    <row r="339" spans="7:18" s="6" customFormat="1" x14ac:dyDescent="0.15"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</row>
    <row r="340" spans="7:18" s="6" customFormat="1" x14ac:dyDescent="0.15"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</row>
    <row r="341" spans="7:18" s="6" customFormat="1" x14ac:dyDescent="0.15"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</row>
    <row r="342" spans="7:18" s="6" customFormat="1" x14ac:dyDescent="0.15"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</row>
    <row r="343" spans="7:18" s="6" customFormat="1" x14ac:dyDescent="0.15"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</row>
    <row r="344" spans="7:18" s="6" customFormat="1" x14ac:dyDescent="0.15"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</row>
    <row r="345" spans="7:18" s="6" customFormat="1" x14ac:dyDescent="0.15"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</row>
    <row r="346" spans="7:18" s="6" customFormat="1" x14ac:dyDescent="0.15"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</row>
    <row r="347" spans="7:18" s="6" customFormat="1" x14ac:dyDescent="0.15"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</row>
    <row r="348" spans="7:18" s="6" customFormat="1" x14ac:dyDescent="0.15"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</row>
    <row r="349" spans="7:18" s="6" customFormat="1" x14ac:dyDescent="0.15"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</row>
    <row r="350" spans="7:18" s="6" customFormat="1" x14ac:dyDescent="0.15"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</row>
    <row r="351" spans="7:18" s="6" customFormat="1" x14ac:dyDescent="0.15"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</row>
    <row r="352" spans="7:18" s="6" customFormat="1" x14ac:dyDescent="0.15"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</row>
    <row r="353" spans="7:18" s="6" customFormat="1" x14ac:dyDescent="0.15"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</row>
    <row r="354" spans="7:18" s="6" customFormat="1" x14ac:dyDescent="0.15"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</row>
    <row r="355" spans="7:18" s="6" customFormat="1" x14ac:dyDescent="0.15"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</row>
    <row r="356" spans="7:18" s="6" customFormat="1" x14ac:dyDescent="0.15"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</row>
    <row r="357" spans="7:18" s="6" customFormat="1" x14ac:dyDescent="0.15"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</row>
    <row r="358" spans="7:18" s="6" customFormat="1" x14ac:dyDescent="0.15"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</row>
    <row r="359" spans="7:18" s="6" customFormat="1" x14ac:dyDescent="0.15"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</row>
    <row r="360" spans="7:18" s="6" customFormat="1" x14ac:dyDescent="0.15"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</row>
    <row r="361" spans="7:18" s="6" customFormat="1" x14ac:dyDescent="0.15"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</row>
    <row r="362" spans="7:18" s="6" customFormat="1" x14ac:dyDescent="0.15"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</row>
    <row r="363" spans="7:18" s="6" customFormat="1" x14ac:dyDescent="0.15"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</row>
    <row r="364" spans="7:18" s="6" customFormat="1" x14ac:dyDescent="0.15"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</row>
    <row r="365" spans="7:18" s="6" customFormat="1" x14ac:dyDescent="0.15"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</row>
    <row r="366" spans="7:18" s="6" customFormat="1" x14ac:dyDescent="0.15"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</row>
    <row r="367" spans="7:18" s="6" customFormat="1" x14ac:dyDescent="0.15"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</row>
    <row r="368" spans="7:18" s="6" customFormat="1" x14ac:dyDescent="0.15"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</row>
    <row r="369" spans="1:18" s="6" customFormat="1" x14ac:dyDescent="0.15"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</row>
    <row r="370" spans="1:18" s="6" customFormat="1" x14ac:dyDescent="0.15"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</row>
    <row r="371" spans="1:18" s="6" customFormat="1" x14ac:dyDescent="0.15"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</row>
    <row r="372" spans="1:18" s="6" customFormat="1" x14ac:dyDescent="0.15"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</row>
    <row r="373" spans="1:18" s="6" customFormat="1" x14ac:dyDescent="0.15"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</row>
    <row r="374" spans="1:18" s="6" customFormat="1" x14ac:dyDescent="0.15"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</row>
    <row r="375" spans="1:18" s="6" customFormat="1" x14ac:dyDescent="0.15"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</row>
    <row r="376" spans="1:18" s="6" customFormat="1" x14ac:dyDescent="0.15"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</row>
    <row r="377" spans="1:18" s="6" customFormat="1" x14ac:dyDescent="0.15"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</row>
    <row r="378" spans="1:18" s="6" customFormat="1" x14ac:dyDescent="0.15"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</row>
    <row r="379" spans="1:18" s="6" customFormat="1" x14ac:dyDescent="0.15"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</row>
    <row r="380" spans="1:18" s="6" customFormat="1" x14ac:dyDescent="0.15"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</row>
    <row r="381" spans="1:18" s="6" customFormat="1" x14ac:dyDescent="0.15">
      <c r="B381" s="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</row>
    <row r="382" spans="1:18" s="6" customFormat="1" x14ac:dyDescent="0.15">
      <c r="B382" s="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</row>
    <row r="383" spans="1:18" s="6" customFormat="1" x14ac:dyDescent="0.15">
      <c r="B383" s="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</row>
    <row r="384" spans="1:18" s="6" customFormat="1" x14ac:dyDescent="0.15">
      <c r="A384"/>
      <c r="B384" s="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</row>
    <row r="397" spans="1:2" x14ac:dyDescent="0.15">
      <c r="B397" s="6"/>
    </row>
    <row r="398" spans="1:2" x14ac:dyDescent="0.15">
      <c r="B398" s="6"/>
    </row>
    <row r="399" spans="1:2" x14ac:dyDescent="0.15">
      <c r="B399" s="6"/>
    </row>
    <row r="400" spans="1:2" x14ac:dyDescent="0.15">
      <c r="A400" s="6"/>
      <c r="B400" s="6"/>
    </row>
    <row r="401" spans="7:18" s="6" customFormat="1" x14ac:dyDescent="0.15"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</row>
    <row r="402" spans="7:18" s="6" customFormat="1" x14ac:dyDescent="0.15"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</row>
    <row r="403" spans="7:18" s="6" customFormat="1" x14ac:dyDescent="0.15"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</row>
    <row r="404" spans="7:18" s="6" customFormat="1" x14ac:dyDescent="0.15"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</row>
    <row r="405" spans="7:18" s="6" customFormat="1" x14ac:dyDescent="0.15"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</row>
    <row r="406" spans="7:18" s="6" customFormat="1" x14ac:dyDescent="0.15"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</row>
    <row r="407" spans="7:18" s="6" customFormat="1" x14ac:dyDescent="0.15"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</row>
    <row r="408" spans="7:18" s="6" customFormat="1" x14ac:dyDescent="0.15"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</row>
    <row r="409" spans="7:18" s="6" customFormat="1" x14ac:dyDescent="0.15"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</row>
    <row r="410" spans="7:18" s="6" customFormat="1" x14ac:dyDescent="0.15"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</row>
    <row r="411" spans="7:18" s="6" customFormat="1" x14ac:dyDescent="0.15"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</row>
    <row r="412" spans="7:18" s="6" customFormat="1" x14ac:dyDescent="0.15"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</row>
    <row r="413" spans="7:18" s="6" customFormat="1" x14ac:dyDescent="0.15"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</row>
    <row r="414" spans="7:18" s="6" customFormat="1" x14ac:dyDescent="0.15"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</row>
    <row r="415" spans="7:18" s="6" customFormat="1" x14ac:dyDescent="0.15"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</row>
    <row r="416" spans="7:18" s="6" customFormat="1" x14ac:dyDescent="0.15"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</row>
    <row r="417" spans="7:18" s="6" customFormat="1" x14ac:dyDescent="0.15"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</row>
    <row r="418" spans="7:18" s="6" customFormat="1" x14ac:dyDescent="0.15"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</row>
    <row r="419" spans="7:18" s="6" customFormat="1" x14ac:dyDescent="0.15"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</row>
    <row r="420" spans="7:18" s="6" customFormat="1" x14ac:dyDescent="0.15"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</row>
    <row r="421" spans="7:18" s="6" customFormat="1" x14ac:dyDescent="0.15"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</row>
    <row r="422" spans="7:18" s="6" customFormat="1" x14ac:dyDescent="0.15"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</row>
    <row r="423" spans="7:18" s="6" customFormat="1" x14ac:dyDescent="0.15"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</row>
    <row r="424" spans="7:18" s="6" customFormat="1" x14ac:dyDescent="0.15"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</row>
    <row r="425" spans="7:18" s="6" customFormat="1" x14ac:dyDescent="0.15"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</row>
    <row r="426" spans="7:18" s="6" customFormat="1" x14ac:dyDescent="0.15"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</row>
    <row r="427" spans="7:18" s="6" customFormat="1" x14ac:dyDescent="0.15"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</row>
    <row r="428" spans="7:18" s="6" customFormat="1" x14ac:dyDescent="0.15"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</row>
    <row r="429" spans="7:18" s="6" customFormat="1" x14ac:dyDescent="0.15"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</row>
    <row r="430" spans="7:18" s="6" customFormat="1" x14ac:dyDescent="0.15"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</row>
    <row r="431" spans="7:18" s="6" customFormat="1" x14ac:dyDescent="0.15"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</row>
    <row r="432" spans="7:18" s="6" customFormat="1" x14ac:dyDescent="0.15"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</row>
    <row r="433" spans="7:18" s="6" customFormat="1" x14ac:dyDescent="0.15"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</row>
    <row r="434" spans="7:18" s="6" customFormat="1" x14ac:dyDescent="0.15"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</row>
    <row r="435" spans="7:18" s="6" customFormat="1" x14ac:dyDescent="0.15"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</row>
    <row r="436" spans="7:18" s="6" customFormat="1" x14ac:dyDescent="0.15"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</row>
    <row r="437" spans="7:18" s="6" customFormat="1" x14ac:dyDescent="0.15"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</row>
    <row r="438" spans="7:18" s="6" customFormat="1" x14ac:dyDescent="0.15"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</row>
    <row r="439" spans="7:18" s="6" customFormat="1" x14ac:dyDescent="0.15"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</row>
    <row r="440" spans="7:18" s="6" customFormat="1" x14ac:dyDescent="0.15"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</row>
    <row r="441" spans="7:18" s="6" customFormat="1" x14ac:dyDescent="0.15"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</row>
    <row r="442" spans="7:18" s="6" customFormat="1" x14ac:dyDescent="0.15"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</row>
    <row r="443" spans="7:18" s="6" customFormat="1" x14ac:dyDescent="0.15"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</row>
    <row r="444" spans="7:18" s="6" customFormat="1" x14ac:dyDescent="0.15"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</row>
    <row r="445" spans="7:18" s="6" customFormat="1" x14ac:dyDescent="0.15"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</row>
    <row r="446" spans="7:18" s="6" customFormat="1" x14ac:dyDescent="0.15"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</row>
    <row r="447" spans="7:18" s="6" customFormat="1" x14ac:dyDescent="0.15"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</row>
    <row r="448" spans="7:18" s="6" customFormat="1" x14ac:dyDescent="0.15"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</row>
    <row r="449" spans="7:18" s="6" customFormat="1" x14ac:dyDescent="0.15"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</row>
    <row r="450" spans="7:18" s="6" customFormat="1" x14ac:dyDescent="0.15"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</row>
    <row r="451" spans="7:18" s="6" customFormat="1" x14ac:dyDescent="0.15"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</row>
    <row r="452" spans="7:18" s="6" customFormat="1" x14ac:dyDescent="0.15"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</row>
    <row r="453" spans="7:18" s="6" customFormat="1" x14ac:dyDescent="0.15"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</row>
    <row r="454" spans="7:18" s="6" customFormat="1" x14ac:dyDescent="0.15"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</row>
    <row r="455" spans="7:18" s="6" customFormat="1" x14ac:dyDescent="0.15"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</row>
    <row r="456" spans="7:18" s="6" customFormat="1" x14ac:dyDescent="0.15"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</row>
    <row r="457" spans="7:18" s="6" customFormat="1" x14ac:dyDescent="0.15"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</row>
    <row r="458" spans="7:18" s="6" customFormat="1" x14ac:dyDescent="0.15"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</row>
    <row r="459" spans="7:18" s="6" customFormat="1" x14ac:dyDescent="0.15"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</row>
    <row r="460" spans="7:18" s="6" customFormat="1" x14ac:dyDescent="0.15"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</row>
    <row r="461" spans="7:18" s="6" customFormat="1" x14ac:dyDescent="0.15"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</row>
    <row r="462" spans="7:18" s="6" customFormat="1" x14ac:dyDescent="0.15"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</row>
    <row r="463" spans="7:18" s="6" customFormat="1" x14ac:dyDescent="0.15"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</row>
    <row r="464" spans="7:18" s="6" customFormat="1" x14ac:dyDescent="0.15"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</row>
    <row r="465" spans="1:18" s="6" customFormat="1" x14ac:dyDescent="0.15"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</row>
    <row r="466" spans="1:18" s="6" customFormat="1" x14ac:dyDescent="0.15"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</row>
    <row r="467" spans="1:18" s="6" customFormat="1" x14ac:dyDescent="0.15"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</row>
    <row r="468" spans="1:18" s="6" customFormat="1" x14ac:dyDescent="0.15"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</row>
    <row r="469" spans="1:18" s="6" customFormat="1" x14ac:dyDescent="0.15"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</row>
    <row r="470" spans="1:18" s="6" customFormat="1" x14ac:dyDescent="0.15"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</row>
    <row r="471" spans="1:18" s="6" customFormat="1" x14ac:dyDescent="0.15"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</row>
    <row r="472" spans="1:18" s="6" customFormat="1" x14ac:dyDescent="0.15"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</row>
    <row r="473" spans="1:18" s="6" customFormat="1" x14ac:dyDescent="0.15"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</row>
    <row r="474" spans="1:18" s="6" customFormat="1" x14ac:dyDescent="0.15"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</row>
    <row r="475" spans="1:18" s="6" customFormat="1" x14ac:dyDescent="0.15"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</row>
    <row r="476" spans="1:18" s="6" customFormat="1" x14ac:dyDescent="0.15"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</row>
    <row r="477" spans="1:18" s="6" customFormat="1" x14ac:dyDescent="0.15">
      <c r="B477" s="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</row>
    <row r="478" spans="1:18" s="6" customFormat="1" x14ac:dyDescent="0.15">
      <c r="B478" s="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</row>
    <row r="479" spans="1:18" s="6" customFormat="1" x14ac:dyDescent="0.15">
      <c r="B479" s="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</row>
    <row r="480" spans="1:18" s="6" customFormat="1" x14ac:dyDescent="0.15">
      <c r="A480"/>
      <c r="B480" s="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</row>
    <row r="509" spans="1:2" x14ac:dyDescent="0.15">
      <c r="B509" s="6"/>
    </row>
    <row r="510" spans="1:2" x14ac:dyDescent="0.15">
      <c r="B510" s="6"/>
    </row>
    <row r="511" spans="1:2" x14ac:dyDescent="0.15">
      <c r="B511" s="6"/>
    </row>
    <row r="512" spans="1:2" x14ac:dyDescent="0.15">
      <c r="A512" s="6"/>
      <c r="B512" s="6"/>
    </row>
    <row r="513" spans="7:18" s="6" customFormat="1" x14ac:dyDescent="0.15"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</row>
    <row r="514" spans="7:18" s="6" customFormat="1" x14ac:dyDescent="0.15"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</row>
    <row r="515" spans="7:18" s="6" customFormat="1" x14ac:dyDescent="0.15"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</row>
    <row r="516" spans="7:18" s="6" customFormat="1" x14ac:dyDescent="0.15"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</row>
    <row r="517" spans="7:18" s="6" customFormat="1" x14ac:dyDescent="0.15"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</row>
    <row r="518" spans="7:18" s="6" customFormat="1" x14ac:dyDescent="0.15"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</row>
    <row r="519" spans="7:18" s="6" customFormat="1" x14ac:dyDescent="0.15"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</row>
    <row r="520" spans="7:18" s="6" customFormat="1" x14ac:dyDescent="0.15"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</row>
    <row r="521" spans="7:18" s="6" customFormat="1" x14ac:dyDescent="0.15"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</row>
    <row r="522" spans="7:18" s="6" customFormat="1" x14ac:dyDescent="0.15"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</row>
    <row r="523" spans="7:18" s="6" customFormat="1" x14ac:dyDescent="0.15"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</row>
    <row r="524" spans="7:18" s="6" customFormat="1" x14ac:dyDescent="0.15"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</row>
    <row r="525" spans="7:18" s="6" customFormat="1" x14ac:dyDescent="0.15"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</row>
    <row r="526" spans="7:18" s="6" customFormat="1" x14ac:dyDescent="0.15"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</row>
    <row r="527" spans="7:18" s="6" customFormat="1" x14ac:dyDescent="0.15"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</row>
    <row r="528" spans="7:18" s="6" customFormat="1" x14ac:dyDescent="0.15"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</row>
    <row r="529" spans="1:18" s="6" customFormat="1" x14ac:dyDescent="0.15"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</row>
    <row r="530" spans="1:18" s="6" customFormat="1" x14ac:dyDescent="0.15"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</row>
    <row r="531" spans="1:18" s="6" customFormat="1" x14ac:dyDescent="0.15"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</row>
    <row r="532" spans="1:18" s="6" customFormat="1" x14ac:dyDescent="0.15"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</row>
    <row r="533" spans="1:18" s="6" customFormat="1" x14ac:dyDescent="0.15"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</row>
    <row r="534" spans="1:18" s="6" customFormat="1" x14ac:dyDescent="0.15"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</row>
    <row r="535" spans="1:18" s="6" customFormat="1" x14ac:dyDescent="0.15"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</row>
    <row r="536" spans="1:18" s="6" customFormat="1" x14ac:dyDescent="0.15"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</row>
    <row r="537" spans="1:18" s="6" customFormat="1" x14ac:dyDescent="0.15"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</row>
    <row r="538" spans="1:18" s="6" customFormat="1" x14ac:dyDescent="0.15"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</row>
    <row r="539" spans="1:18" s="6" customFormat="1" x14ac:dyDescent="0.15"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</row>
    <row r="540" spans="1:18" s="6" customFormat="1" x14ac:dyDescent="0.15"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</row>
    <row r="541" spans="1:18" s="6" customFormat="1" x14ac:dyDescent="0.15">
      <c r="B541" s="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</row>
    <row r="542" spans="1:18" s="6" customFormat="1" x14ac:dyDescent="0.15">
      <c r="B542" s="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</row>
    <row r="543" spans="1:18" s="6" customFormat="1" x14ac:dyDescent="0.15">
      <c r="B543" s="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</row>
    <row r="544" spans="1:18" s="6" customFormat="1" x14ac:dyDescent="0.15">
      <c r="A544"/>
      <c r="B544" s="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</row>
    <row r="573" spans="1:2" x14ac:dyDescent="0.15">
      <c r="B573" s="6"/>
    </row>
    <row r="574" spans="1:2" x14ac:dyDescent="0.15">
      <c r="B574" s="6"/>
    </row>
    <row r="575" spans="1:2" x14ac:dyDescent="0.15">
      <c r="B575" s="6"/>
    </row>
    <row r="576" spans="1:2" x14ac:dyDescent="0.15">
      <c r="A576" s="6"/>
      <c r="B576" s="6"/>
    </row>
    <row r="577" spans="7:18" s="6" customFormat="1" x14ac:dyDescent="0.15"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</row>
    <row r="578" spans="7:18" s="6" customFormat="1" x14ac:dyDescent="0.15"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</row>
    <row r="579" spans="7:18" s="6" customFormat="1" x14ac:dyDescent="0.15"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</row>
    <row r="580" spans="7:18" s="6" customFormat="1" x14ac:dyDescent="0.15"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</row>
    <row r="581" spans="7:18" s="6" customFormat="1" x14ac:dyDescent="0.15"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</row>
    <row r="582" spans="7:18" s="6" customFormat="1" x14ac:dyDescent="0.15"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</row>
    <row r="583" spans="7:18" s="6" customFormat="1" x14ac:dyDescent="0.15"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</row>
    <row r="584" spans="7:18" s="6" customFormat="1" x14ac:dyDescent="0.15"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</row>
    <row r="585" spans="7:18" s="6" customFormat="1" x14ac:dyDescent="0.15"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</row>
    <row r="586" spans="7:18" s="6" customFormat="1" x14ac:dyDescent="0.15"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</row>
    <row r="587" spans="7:18" s="6" customFormat="1" x14ac:dyDescent="0.15"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</row>
    <row r="588" spans="7:18" s="6" customFormat="1" x14ac:dyDescent="0.15"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</row>
    <row r="589" spans="7:18" s="6" customFormat="1" x14ac:dyDescent="0.15"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</row>
    <row r="590" spans="7:18" s="6" customFormat="1" x14ac:dyDescent="0.15"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</row>
    <row r="591" spans="7:18" s="6" customFormat="1" x14ac:dyDescent="0.15"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</row>
    <row r="592" spans="7:18" s="6" customFormat="1" x14ac:dyDescent="0.15"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</row>
    <row r="593" spans="7:18" s="6" customFormat="1" x14ac:dyDescent="0.15"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</row>
    <row r="594" spans="7:18" s="6" customFormat="1" x14ac:dyDescent="0.15"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</row>
    <row r="595" spans="7:18" s="6" customFormat="1" x14ac:dyDescent="0.15"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</row>
    <row r="596" spans="7:18" s="6" customFormat="1" x14ac:dyDescent="0.15"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</row>
    <row r="597" spans="7:18" s="6" customFormat="1" x14ac:dyDescent="0.15"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</row>
    <row r="598" spans="7:18" s="6" customFormat="1" x14ac:dyDescent="0.15"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</row>
    <row r="599" spans="7:18" s="6" customFormat="1" x14ac:dyDescent="0.15"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</row>
    <row r="600" spans="7:18" s="6" customFormat="1" x14ac:dyDescent="0.15"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</row>
    <row r="601" spans="7:18" s="6" customFormat="1" x14ac:dyDescent="0.15"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</row>
    <row r="602" spans="7:18" s="6" customFormat="1" x14ac:dyDescent="0.15"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</row>
    <row r="603" spans="7:18" s="6" customFormat="1" x14ac:dyDescent="0.15"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</row>
    <row r="604" spans="7:18" s="6" customFormat="1" x14ac:dyDescent="0.15"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</row>
    <row r="605" spans="7:18" s="6" customFormat="1" x14ac:dyDescent="0.15"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</row>
    <row r="606" spans="7:18" s="6" customFormat="1" x14ac:dyDescent="0.15"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</row>
    <row r="607" spans="7:18" s="6" customFormat="1" x14ac:dyDescent="0.15"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</row>
    <row r="608" spans="7:18" s="6" customFormat="1" x14ac:dyDescent="0.15"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</row>
    <row r="609" spans="7:18" s="6" customFormat="1" x14ac:dyDescent="0.15"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</row>
    <row r="610" spans="7:18" s="6" customFormat="1" x14ac:dyDescent="0.15"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</row>
    <row r="611" spans="7:18" s="6" customFormat="1" x14ac:dyDescent="0.15"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</row>
    <row r="612" spans="7:18" s="6" customFormat="1" x14ac:dyDescent="0.15"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</row>
    <row r="613" spans="7:18" s="6" customFormat="1" x14ac:dyDescent="0.15"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</row>
    <row r="614" spans="7:18" s="6" customFormat="1" x14ac:dyDescent="0.15"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</row>
    <row r="615" spans="7:18" s="6" customFormat="1" x14ac:dyDescent="0.15"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</row>
    <row r="616" spans="7:18" s="6" customFormat="1" x14ac:dyDescent="0.15"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</row>
    <row r="617" spans="7:18" s="6" customFormat="1" x14ac:dyDescent="0.15"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</row>
    <row r="618" spans="7:18" s="6" customFormat="1" x14ac:dyDescent="0.15"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</row>
    <row r="619" spans="7:18" s="6" customFormat="1" x14ac:dyDescent="0.15"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</row>
    <row r="620" spans="7:18" s="6" customFormat="1" x14ac:dyDescent="0.15"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</row>
    <row r="621" spans="7:18" s="6" customFormat="1" x14ac:dyDescent="0.15"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</row>
    <row r="622" spans="7:18" s="6" customFormat="1" x14ac:dyDescent="0.15"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</row>
    <row r="623" spans="7:18" s="6" customFormat="1" x14ac:dyDescent="0.15"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</row>
    <row r="624" spans="7:18" s="6" customFormat="1" x14ac:dyDescent="0.15"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</row>
    <row r="625" spans="7:18" s="6" customFormat="1" x14ac:dyDescent="0.15"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</row>
    <row r="626" spans="7:18" s="6" customFormat="1" x14ac:dyDescent="0.15"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</row>
    <row r="627" spans="7:18" s="6" customFormat="1" x14ac:dyDescent="0.15"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</row>
    <row r="628" spans="7:18" s="6" customFormat="1" x14ac:dyDescent="0.15"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</row>
    <row r="629" spans="7:18" s="6" customFormat="1" x14ac:dyDescent="0.15"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</row>
    <row r="630" spans="7:18" s="6" customFormat="1" x14ac:dyDescent="0.15"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</row>
    <row r="631" spans="7:18" s="6" customFormat="1" x14ac:dyDescent="0.15"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</row>
    <row r="632" spans="7:18" s="6" customFormat="1" x14ac:dyDescent="0.15"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</row>
    <row r="633" spans="7:18" s="6" customFormat="1" x14ac:dyDescent="0.15"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</row>
    <row r="634" spans="7:18" s="6" customFormat="1" x14ac:dyDescent="0.15"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</row>
    <row r="635" spans="7:18" s="6" customFormat="1" x14ac:dyDescent="0.15"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</row>
    <row r="636" spans="7:18" s="6" customFormat="1" x14ac:dyDescent="0.15"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</row>
    <row r="637" spans="7:18" s="6" customFormat="1" x14ac:dyDescent="0.15"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</row>
    <row r="638" spans="7:18" s="6" customFormat="1" x14ac:dyDescent="0.15"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</row>
    <row r="639" spans="7:18" s="6" customFormat="1" x14ac:dyDescent="0.15"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</row>
    <row r="640" spans="7:18" s="6" customFormat="1" x14ac:dyDescent="0.15"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</row>
    <row r="641" spans="7:18" s="6" customFormat="1" x14ac:dyDescent="0.15"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</row>
    <row r="642" spans="7:18" s="6" customFormat="1" x14ac:dyDescent="0.15"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</row>
    <row r="643" spans="7:18" s="6" customFormat="1" x14ac:dyDescent="0.15"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</row>
    <row r="644" spans="7:18" s="6" customFormat="1" x14ac:dyDescent="0.15"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</row>
    <row r="645" spans="7:18" s="6" customFormat="1" x14ac:dyDescent="0.15"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</row>
    <row r="646" spans="7:18" s="6" customFormat="1" x14ac:dyDescent="0.15"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</row>
    <row r="647" spans="7:18" s="6" customFormat="1" x14ac:dyDescent="0.15"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</row>
    <row r="648" spans="7:18" s="6" customFormat="1" x14ac:dyDescent="0.15"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</row>
    <row r="649" spans="7:18" s="6" customFormat="1" x14ac:dyDescent="0.15"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</row>
    <row r="650" spans="7:18" s="6" customFormat="1" x14ac:dyDescent="0.15"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</row>
    <row r="651" spans="7:18" s="6" customFormat="1" x14ac:dyDescent="0.15"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</row>
    <row r="652" spans="7:18" s="6" customFormat="1" x14ac:dyDescent="0.15"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</row>
    <row r="653" spans="7:18" s="6" customFormat="1" x14ac:dyDescent="0.15"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</row>
    <row r="654" spans="7:18" s="6" customFormat="1" x14ac:dyDescent="0.15"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</row>
    <row r="655" spans="7:18" s="6" customFormat="1" x14ac:dyDescent="0.15"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</row>
    <row r="656" spans="7:18" s="6" customFormat="1" x14ac:dyDescent="0.15"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</row>
    <row r="657" spans="7:18" s="6" customFormat="1" x14ac:dyDescent="0.15"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</row>
    <row r="658" spans="7:18" s="6" customFormat="1" x14ac:dyDescent="0.15"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</row>
    <row r="659" spans="7:18" s="6" customFormat="1" x14ac:dyDescent="0.15"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</row>
    <row r="660" spans="7:18" s="6" customFormat="1" x14ac:dyDescent="0.15"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</row>
    <row r="661" spans="7:18" s="6" customFormat="1" x14ac:dyDescent="0.15"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</row>
    <row r="662" spans="7:18" s="6" customFormat="1" x14ac:dyDescent="0.15"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</row>
    <row r="663" spans="7:18" s="6" customFormat="1" x14ac:dyDescent="0.15"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</row>
    <row r="664" spans="7:18" s="6" customFormat="1" x14ac:dyDescent="0.15"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</row>
    <row r="665" spans="7:18" s="6" customFormat="1" x14ac:dyDescent="0.15"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</row>
    <row r="666" spans="7:18" s="6" customFormat="1" x14ac:dyDescent="0.15"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</row>
    <row r="667" spans="7:18" s="6" customFormat="1" x14ac:dyDescent="0.15"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</row>
    <row r="668" spans="7:18" s="6" customFormat="1" x14ac:dyDescent="0.15"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</row>
    <row r="669" spans="7:18" s="6" customFormat="1" x14ac:dyDescent="0.15"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</row>
    <row r="670" spans="7:18" s="6" customFormat="1" x14ac:dyDescent="0.15"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</row>
    <row r="671" spans="7:18" s="6" customFormat="1" x14ac:dyDescent="0.15"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</row>
    <row r="672" spans="7:18" s="6" customFormat="1" x14ac:dyDescent="0.15"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</row>
    <row r="673" spans="7:18" s="6" customFormat="1" x14ac:dyDescent="0.15"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</row>
    <row r="674" spans="7:18" s="6" customFormat="1" x14ac:dyDescent="0.15"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</row>
    <row r="675" spans="7:18" s="6" customFormat="1" x14ac:dyDescent="0.15"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</row>
    <row r="676" spans="7:18" s="6" customFormat="1" x14ac:dyDescent="0.15"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</row>
    <row r="677" spans="7:18" s="6" customFormat="1" x14ac:dyDescent="0.15"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</row>
    <row r="678" spans="7:18" s="6" customFormat="1" x14ac:dyDescent="0.15"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</row>
    <row r="679" spans="7:18" s="6" customFormat="1" x14ac:dyDescent="0.15"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</row>
    <row r="680" spans="7:18" s="6" customFormat="1" x14ac:dyDescent="0.15"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</row>
    <row r="681" spans="7:18" s="6" customFormat="1" x14ac:dyDescent="0.15"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</row>
    <row r="682" spans="7:18" s="6" customFormat="1" x14ac:dyDescent="0.15"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</row>
    <row r="683" spans="7:18" s="6" customFormat="1" x14ac:dyDescent="0.15"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</row>
    <row r="684" spans="7:18" s="6" customFormat="1" x14ac:dyDescent="0.15"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</row>
    <row r="685" spans="7:18" s="6" customFormat="1" x14ac:dyDescent="0.15"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</row>
    <row r="686" spans="7:18" s="6" customFormat="1" x14ac:dyDescent="0.15"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</row>
    <row r="687" spans="7:18" s="6" customFormat="1" x14ac:dyDescent="0.15"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</row>
    <row r="688" spans="7:18" s="6" customFormat="1" x14ac:dyDescent="0.15"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</row>
    <row r="689" spans="7:18" s="6" customFormat="1" x14ac:dyDescent="0.15"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</row>
    <row r="690" spans="7:18" s="6" customFormat="1" x14ac:dyDescent="0.15"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</row>
    <row r="691" spans="7:18" s="6" customFormat="1" x14ac:dyDescent="0.15"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</row>
    <row r="692" spans="7:18" s="6" customFormat="1" x14ac:dyDescent="0.15"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</row>
    <row r="693" spans="7:18" s="6" customFormat="1" x14ac:dyDescent="0.15"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</row>
    <row r="694" spans="7:18" s="6" customFormat="1" x14ac:dyDescent="0.15"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</row>
    <row r="695" spans="7:18" s="6" customFormat="1" x14ac:dyDescent="0.15"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</row>
    <row r="696" spans="7:18" s="6" customFormat="1" x14ac:dyDescent="0.15"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</row>
    <row r="697" spans="7:18" s="6" customFormat="1" x14ac:dyDescent="0.15"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</row>
    <row r="698" spans="7:18" s="6" customFormat="1" x14ac:dyDescent="0.15"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</row>
    <row r="699" spans="7:18" s="6" customFormat="1" x14ac:dyDescent="0.15"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</row>
    <row r="700" spans="7:18" s="6" customFormat="1" x14ac:dyDescent="0.15"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</row>
    <row r="701" spans="7:18" s="6" customFormat="1" x14ac:dyDescent="0.15"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</row>
    <row r="702" spans="7:18" s="6" customFormat="1" x14ac:dyDescent="0.15"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</row>
    <row r="703" spans="7:18" s="6" customFormat="1" x14ac:dyDescent="0.15"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</row>
    <row r="704" spans="7:18" s="6" customFormat="1" x14ac:dyDescent="0.15"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</row>
    <row r="705" spans="7:18" s="6" customFormat="1" x14ac:dyDescent="0.15"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</row>
    <row r="706" spans="7:18" s="6" customFormat="1" x14ac:dyDescent="0.15"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</row>
    <row r="707" spans="7:18" s="6" customFormat="1" x14ac:dyDescent="0.15"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</row>
    <row r="708" spans="7:18" s="6" customFormat="1" x14ac:dyDescent="0.15"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</row>
    <row r="709" spans="7:18" s="6" customFormat="1" x14ac:dyDescent="0.15"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</row>
    <row r="710" spans="7:18" s="6" customFormat="1" x14ac:dyDescent="0.15"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</row>
    <row r="711" spans="7:18" s="6" customFormat="1" x14ac:dyDescent="0.15"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</row>
    <row r="712" spans="7:18" s="6" customFormat="1" x14ac:dyDescent="0.15"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</row>
    <row r="713" spans="7:18" s="6" customFormat="1" x14ac:dyDescent="0.15"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</row>
    <row r="714" spans="7:18" s="6" customFormat="1" x14ac:dyDescent="0.15"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</row>
    <row r="715" spans="7:18" s="6" customFormat="1" x14ac:dyDescent="0.15"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</row>
    <row r="716" spans="7:18" s="6" customFormat="1" x14ac:dyDescent="0.15"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</row>
    <row r="717" spans="7:18" s="6" customFormat="1" x14ac:dyDescent="0.15"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</row>
    <row r="718" spans="7:18" s="6" customFormat="1" x14ac:dyDescent="0.15"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</row>
    <row r="719" spans="7:18" s="6" customFormat="1" x14ac:dyDescent="0.15"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</row>
    <row r="720" spans="7:18" s="6" customFormat="1" x14ac:dyDescent="0.15"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</row>
    <row r="721" spans="1:18" s="6" customFormat="1" x14ac:dyDescent="0.15"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</row>
    <row r="722" spans="1:18" s="6" customFormat="1" x14ac:dyDescent="0.15"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</row>
    <row r="723" spans="1:18" s="6" customFormat="1" x14ac:dyDescent="0.15"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</row>
    <row r="724" spans="1:18" s="6" customFormat="1" x14ac:dyDescent="0.15"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</row>
    <row r="725" spans="1:18" s="6" customFormat="1" x14ac:dyDescent="0.15"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</row>
    <row r="726" spans="1:18" s="6" customFormat="1" x14ac:dyDescent="0.15"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</row>
    <row r="727" spans="1:18" s="6" customFormat="1" x14ac:dyDescent="0.15"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</row>
    <row r="728" spans="1:18" s="6" customFormat="1" x14ac:dyDescent="0.15"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</row>
    <row r="729" spans="1:18" s="6" customFormat="1" x14ac:dyDescent="0.15"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</row>
    <row r="730" spans="1:18" s="6" customFormat="1" x14ac:dyDescent="0.15"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</row>
    <row r="731" spans="1:18" s="6" customFormat="1" x14ac:dyDescent="0.15"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</row>
    <row r="732" spans="1:18" s="6" customFormat="1" x14ac:dyDescent="0.15"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</row>
    <row r="733" spans="1:18" s="6" customFormat="1" x14ac:dyDescent="0.15">
      <c r="B733" s="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</row>
    <row r="734" spans="1:18" s="6" customFormat="1" x14ac:dyDescent="0.15">
      <c r="B734" s="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</row>
    <row r="735" spans="1:18" s="6" customFormat="1" x14ac:dyDescent="0.15">
      <c r="B735" s="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</row>
    <row r="736" spans="1:18" s="6" customFormat="1" x14ac:dyDescent="0.15">
      <c r="A736"/>
      <c r="B736" s="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</row>
  </sheetData>
  <pageMargins left="0.75" right="0.75" top="1" bottom="1" header="0.5" footer="0.5"/>
  <pageSetup orientation="portrait" r:id="rId1"/>
  <headerFooter alignWithMargins="0">
    <oddFooter>&amp;L_x000D_&amp;1#&amp;"Calibri"&amp;10&amp;K737373 Caterpillar: Confidential Green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2017C9-3F7C-4835-8406-D62E01376F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Find Formula</vt:lpstr>
      <vt:lpstr>Formula</vt:lpstr>
    </vt:vector>
  </TitlesOfParts>
  <Manager/>
  <Company>Caterpillar Inc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Sharad Anand</dc:creator>
  <cp:keywords/>
  <dc:description/>
  <cp:lastModifiedBy>Amiya Pani</cp:lastModifiedBy>
  <cp:revision/>
  <dcterms:created xsi:type="dcterms:W3CDTF">2024-02-07T08:01:12Z</dcterms:created>
  <dcterms:modified xsi:type="dcterms:W3CDTF">2025-08-24T17:00:38Z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2024-02-07T08:06:20Z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15fdb1bd-6d47-4e3f-b395-6c8bd1b27fbe</vt:lpwstr>
  </property>
  <property fmtid="{D5CDD505-2E9C-101B-9397-08002B2CF9AE}" pid="8" name="MSIP_Label_fb5e2db6-eecf-4aa2-8fc3-174bf94bce19_ContentBits">
    <vt:lpwstr>2</vt:lpwstr>
  </property>
</Properties>
</file>